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te Evaluation" sheetId="1" state="visible" r:id="rId1"/>
    <sheet xmlns:r="http://schemas.openxmlformats.org/officeDocument/2006/relationships" name="Seasonal UHII" sheetId="2" state="visible" r:id="rId2"/>
    <sheet xmlns:r="http://schemas.openxmlformats.org/officeDocument/2006/relationships" name="Score Breakdown" sheetId="3" state="visible" r:id="rId3"/>
    <sheet xmlns:r="http://schemas.openxmlformats.org/officeDocument/2006/relationships" name="Legend &amp; Metho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1F4E78"/>
      <sz val="13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0" fillId="3" borderId="1" applyAlignment="1" pivotButton="0" quotePrefix="0" xfId="0">
      <alignment horizontal="center"/>
    </xf>
    <xf numFmtId="2" fontId="0" fillId="3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2" fontId="0" fillId="0" borderId="1" applyAlignment="1" pivotButton="0" quotePrefix="0" xfId="0">
      <alignment horizontal="center"/>
    </xf>
    <xf numFmtId="2" fontId="0" fillId="0" borderId="1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10 districts - weighted score contribution</a:t>
            </a:r>
          </a:p>
        </rich>
      </tx>
    </title>
    <plotArea>
      <barChart>
        <barDir val="bar"/>
        <grouping val="stacked"/>
        <ser>
          <idx val="0"/>
          <order val="0"/>
          <tx>
            <strRef>
              <f>'Score Breakdown'!C1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'Score Breakdown'!$B$2:$B$11</f>
            </numRef>
          </cat>
          <val>
            <numRef>
              <f>'Score Breakdown'!$C$2:$C$11</f>
            </numRef>
          </val>
        </ser>
        <ser>
          <idx val="1"/>
          <order val="1"/>
          <tx>
            <strRef>
              <f>'Score Breakdown'!D1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'Score Breakdown'!$B$2:$B$11</f>
            </numRef>
          </cat>
          <val>
            <numRef>
              <f>'Score Breakdown'!$D$2:$D$11</f>
            </numRef>
          </val>
        </ser>
        <ser>
          <idx val="2"/>
          <order val="2"/>
          <tx>
            <strRef>
              <f>'Score Breakdown'!E1</f>
            </strRef>
          </tx>
          <spPr>
            <a:ln xmlns:a="http://schemas.openxmlformats.org/drawingml/2006/main">
              <a:prstDash val="solid"/>
            </a:ln>
          </spPr>
          <cat>
            <numRef>
              <f>'Score Breakdown'!$B$2:$B$11</f>
            </numRef>
          </cat>
          <val>
            <numRef>
              <f>'Score Breakdown'!$E$2:$E$11</f>
            </numRef>
          </val>
        </ser>
        <ser>
          <idx val="3"/>
          <order val="3"/>
          <tx>
            <strRef>
              <f>'Score Breakdown'!F1</f>
            </strRef>
          </tx>
          <spPr>
            <a:ln xmlns:a="http://schemas.openxmlformats.org/drawingml/2006/main">
              <a:prstDash val="solid"/>
            </a:ln>
          </spPr>
          <cat>
            <numRef>
              <f>'Score Breakdown'!$B$2:$B$11</f>
            </numRef>
          </cat>
          <val>
            <numRef>
              <f>'Score Breakdown'!$F$2:$F$11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District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Points toward total (0-10)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8</col>
      <colOff>0</colOff>
      <row>1</row>
      <rowOff>0</rowOff>
    </from>
    <ext cx="792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4" customWidth="1" min="2" max="2"/>
    <col width="10" customWidth="1" min="3" max="3"/>
    <col width="20" customWidth="1" min="4" max="4"/>
    <col width="17" customWidth="1" min="5" max="5"/>
    <col width="27" customWidth="1" min="6" max="6"/>
    <col width="21" customWidth="1" min="7" max="7"/>
    <col width="24" customWidth="1" min="8" max="8"/>
    <col width="25" customWidth="1" min="9" max="9"/>
    <col width="14" customWidth="1" min="10" max="10"/>
    <col width="13" customWidth="1" min="11" max="11"/>
    <col width="22" customWidth="1" min="12" max="12"/>
    <col width="14" customWidth="1" min="13" max="13"/>
    <col width="18" customWidth="1" min="14" max="14"/>
    <col width="20" customWidth="1" min="15" max="15"/>
    <col width="30" customWidth="1" min="16" max="16"/>
    <col width="28" customWidth="1" min="17" max="17"/>
  </cols>
  <sheetData>
    <row r="1" ht="42" customHeight="1">
      <c r="A1" s="1" t="inlineStr">
        <is>
          <t>Rank</t>
        </is>
      </c>
      <c r="B1" s="1" t="inlineStr">
        <is>
          <t>District</t>
        </is>
      </c>
      <c r="C1" s="1" t="inlineStr">
        <is>
          <t>UHI Tier</t>
        </is>
      </c>
      <c r="D1" s="1" t="inlineStr">
        <is>
          <t>TOTAL SCORE (0-10)</t>
        </is>
      </c>
      <c r="E1" s="1" t="inlineStr">
        <is>
          <t>UHI score (35%)</t>
        </is>
      </c>
      <c r="F1" s="1" t="inlineStr">
        <is>
          <t>Vulnerability score (30%)</t>
        </is>
      </c>
      <c r="G1" s="1" t="inlineStr">
        <is>
          <t>Transit score (25%)</t>
        </is>
      </c>
      <c r="H1" s="1" t="inlineStr">
        <is>
          <t>Population score (10%)</t>
        </is>
      </c>
      <c r="I1" s="1" t="inlineStr">
        <is>
          <t>Evening UHII HotDry (C)</t>
        </is>
      </c>
      <c r="J1" s="1" t="inlineStr">
        <is>
          <t>LST mean (C)</t>
        </is>
      </c>
      <c r="K1" s="1" t="inlineStr">
        <is>
          <t>LST max (C)</t>
        </is>
      </c>
      <c r="L1" s="1" t="inlineStr">
        <is>
          <t>Dominant LCZ</t>
        </is>
      </c>
      <c r="M1" s="1" t="inlineStr">
        <is>
          <t>LCZ conf (%)</t>
        </is>
      </c>
      <c r="N1" s="1" t="inlineStr">
        <is>
          <t>Transit stations</t>
        </is>
      </c>
      <c r="O1" s="1" t="inlineStr">
        <is>
          <t>Population (% BMA)</t>
        </is>
      </c>
      <c r="P1" s="1" t="inlineStr">
        <is>
          <t>Tier0 Intercept (% district)</t>
        </is>
      </c>
      <c r="Q1" s="1" t="inlineStr">
        <is>
          <t>Tier0 Intercept (% resid.)</t>
        </is>
      </c>
    </row>
    <row r="2">
      <c r="A2" s="2" t="n">
        <v>1</v>
      </c>
      <c r="B2" s="2" t="inlineStr">
        <is>
          <t>Chatuchak District</t>
        </is>
      </c>
      <c r="C2" s="3" t="inlineStr">
        <is>
          <t>Severe</t>
        </is>
      </c>
      <c r="D2" s="4" t="n">
        <v>9.07</v>
      </c>
      <c r="E2" s="4" t="n">
        <v>8.17</v>
      </c>
      <c r="F2" s="4" t="n">
        <v>10</v>
      </c>
      <c r="G2" s="4" t="n">
        <v>10</v>
      </c>
      <c r="H2" s="4" t="n">
        <v>7.06</v>
      </c>
      <c r="I2" s="4" t="n">
        <v>3.1</v>
      </c>
      <c r="J2" s="4" t="n">
        <v>44.35</v>
      </c>
      <c r="K2" s="4" t="n">
        <v>53.96</v>
      </c>
      <c r="L2" s="3" t="inlineStr">
        <is>
          <t>LCZ 3 (Compact low-rise)</t>
        </is>
      </c>
      <c r="M2" s="4" t="n">
        <v>66.09999999999999</v>
      </c>
      <c r="N2" s="3" t="n">
        <v>14</v>
      </c>
      <c r="O2" s="4" t="n">
        <v>2.8</v>
      </c>
      <c r="P2" s="4" t="n">
        <v>7.512476021659428</v>
      </c>
      <c r="Q2" s="4" t="n">
        <v>14.05865174319483</v>
      </c>
    </row>
    <row r="3">
      <c r="A3" s="2" t="n">
        <v>2</v>
      </c>
      <c r="B3" s="2" t="inlineStr">
        <is>
          <t>Bang Sue District</t>
        </is>
      </c>
      <c r="C3" s="3" t="inlineStr">
        <is>
          <t>Severe</t>
        </is>
      </c>
      <c r="D3" s="4" t="n">
        <v>7.22</v>
      </c>
      <c r="E3" s="4" t="n">
        <v>8.529999999999999</v>
      </c>
      <c r="F3" s="4" t="n">
        <v>10</v>
      </c>
      <c r="G3" s="4" t="n">
        <v>2.86</v>
      </c>
      <c r="H3" s="4" t="n">
        <v>5.23</v>
      </c>
      <c r="I3" s="4" t="n">
        <v>3.2</v>
      </c>
      <c r="J3" s="4" t="n">
        <v>44.7</v>
      </c>
      <c r="K3" s="4" t="n">
        <v>49.43</v>
      </c>
      <c r="L3" s="3" t="inlineStr">
        <is>
          <t>LCZ 3 (Compact low-rise)</t>
        </is>
      </c>
      <c r="M3" s="4" t="n">
        <v>70.7</v>
      </c>
      <c r="N3" s="3" t="n">
        <v>4</v>
      </c>
      <c r="O3" s="4" t="n">
        <v>2.17</v>
      </c>
      <c r="P3" s="4" t="n">
        <v>16.59413937857211</v>
      </c>
      <c r="Q3" s="4" t="n">
        <v>34.72043308284073</v>
      </c>
    </row>
    <row r="4">
      <c r="A4" s="2" t="n">
        <v>3</v>
      </c>
      <c r="B4" s="2" t="inlineStr">
        <is>
          <t>Din Daeng District</t>
        </is>
      </c>
      <c r="C4" s="3" t="inlineStr">
        <is>
          <t>Severe</t>
        </is>
      </c>
      <c r="D4" s="4" t="n">
        <v>6.9</v>
      </c>
      <c r="E4" s="4" t="n">
        <v>7.23</v>
      </c>
      <c r="F4" s="4" t="n">
        <v>10</v>
      </c>
      <c r="G4" s="4" t="n">
        <v>3.57</v>
      </c>
      <c r="H4" s="4" t="n">
        <v>4.8</v>
      </c>
      <c r="I4" s="4" t="n">
        <v>2.7</v>
      </c>
      <c r="J4" s="4" t="n">
        <v>44.25</v>
      </c>
      <c r="K4" s="4" t="n">
        <v>51.68</v>
      </c>
      <c r="L4" s="3" t="inlineStr">
        <is>
          <t>LCZ 3 (Compact low-rise)</t>
        </is>
      </c>
      <c r="M4" s="4" t="n">
        <v>67.40000000000001</v>
      </c>
      <c r="N4" s="3" t="n">
        <v>5</v>
      </c>
      <c r="O4" s="4" t="n">
        <v>2.02</v>
      </c>
      <c r="P4" s="4" t="n">
        <v>39.43490169368372</v>
      </c>
      <c r="Q4" s="4" t="n">
        <v>57.77960997921438</v>
      </c>
    </row>
    <row r="5">
      <c r="A5" s="5" t="n">
        <v>4</v>
      </c>
      <c r="B5" s="5" t="inlineStr">
        <is>
          <t>Bang Khen District</t>
        </is>
      </c>
      <c r="C5" s="6" t="inlineStr">
        <is>
          <t>Low</t>
        </is>
      </c>
      <c r="D5" s="7" t="n">
        <v>6.7</v>
      </c>
      <c r="E5" s="7" t="n">
        <v>8.800000000000001</v>
      </c>
      <c r="F5" s="7" t="n">
        <v>2</v>
      </c>
      <c r="G5" s="7" t="n">
        <v>8.57</v>
      </c>
      <c r="H5" s="7" t="n">
        <v>8.720000000000001</v>
      </c>
      <c r="I5" s="7" t="n">
        <v>3.3</v>
      </c>
      <c r="J5" s="7" t="n">
        <v>44.84</v>
      </c>
      <c r="K5" s="7" t="n">
        <v>52.38</v>
      </c>
      <c r="L5" s="6" t="inlineStr">
        <is>
          <t>LCZ 5 (Open midrise)</t>
        </is>
      </c>
      <c r="M5" s="7" t="n">
        <v>70.3</v>
      </c>
      <c r="N5" s="6" t="n">
        <v>12</v>
      </c>
      <c r="O5" s="7" t="n">
        <v>3.37</v>
      </c>
      <c r="P5" s="7" t="n">
        <v>1.870603196602062</v>
      </c>
      <c r="Q5" s="7" t="n">
        <v>9.826740176033166</v>
      </c>
    </row>
    <row r="6">
      <c r="A6" s="5" t="n">
        <v>5</v>
      </c>
      <c r="B6" s="5" t="inlineStr">
        <is>
          <t>Wang Thonglang District</t>
        </is>
      </c>
      <c r="C6" s="6" t="inlineStr">
        <is>
          <t>Medium</t>
        </is>
      </c>
      <c r="D6" s="7" t="n">
        <v>6.67</v>
      </c>
      <c r="E6" s="7" t="n">
        <v>7.16</v>
      </c>
      <c r="F6" s="7" t="n">
        <v>10</v>
      </c>
      <c r="G6" s="7" t="n">
        <v>2.86</v>
      </c>
      <c r="H6" s="7" t="n">
        <v>4.45</v>
      </c>
      <c r="I6" s="7" t="n">
        <v>2.7</v>
      </c>
      <c r="J6" s="7" t="n">
        <v>44.07</v>
      </c>
      <c r="K6" s="7" t="n">
        <v>50.26</v>
      </c>
      <c r="L6" s="6" t="inlineStr">
        <is>
          <t>LCZ 3 (Compact low-rise)</t>
        </is>
      </c>
      <c r="M6" s="7" t="n">
        <v>72.5</v>
      </c>
      <c r="N6" s="6" t="n">
        <v>4</v>
      </c>
      <c r="O6" s="7" t="n">
        <v>1.9</v>
      </c>
      <c r="P6" s="7" t="n">
        <v>2.052317868773394</v>
      </c>
      <c r="Q6" s="7" t="n">
        <v>5.914563977716659</v>
      </c>
    </row>
    <row r="7">
      <c r="A7" s="5" t="n">
        <v>6</v>
      </c>
      <c r="B7" s="5" t="inlineStr">
        <is>
          <t>Bueng Kum District</t>
        </is>
      </c>
      <c r="C7" s="6" t="inlineStr">
        <is>
          <t>Medium</t>
        </is>
      </c>
      <c r="D7" s="7" t="n">
        <v>6.58</v>
      </c>
      <c r="E7" s="7" t="n">
        <v>8.460000000000001</v>
      </c>
      <c r="F7" s="7" t="n">
        <v>10</v>
      </c>
      <c r="G7" s="7" t="n">
        <v>0</v>
      </c>
      <c r="H7" s="7" t="n">
        <v>6.22</v>
      </c>
      <c r="I7" s="7" t="n">
        <v>3.1</v>
      </c>
      <c r="J7" s="7" t="n">
        <v>45.14</v>
      </c>
      <c r="K7" s="7" t="n">
        <v>50.28</v>
      </c>
      <c r="L7" s="6" t="inlineStr">
        <is>
          <t>LCZ 3 (Compact low-rise)</t>
        </is>
      </c>
      <c r="M7" s="7" t="n">
        <v>68.90000000000001</v>
      </c>
      <c r="N7" s="6" t="n">
        <v>0</v>
      </c>
      <c r="O7" s="7" t="n">
        <v>2.51</v>
      </c>
      <c r="P7" s="7" t="n">
        <v>2.476686335380355</v>
      </c>
      <c r="Q7" s="7" t="n">
        <v>12.40970507352609</v>
      </c>
    </row>
    <row r="8">
      <c r="A8" s="5" t="n">
        <v>7</v>
      </c>
      <c r="B8" s="5" t="inlineStr">
        <is>
          <t>Lat Phrao District</t>
        </is>
      </c>
      <c r="C8" s="6" t="inlineStr">
        <is>
          <t>Medium</t>
        </is>
      </c>
      <c r="D8" s="7" t="n">
        <v>6.4</v>
      </c>
      <c r="E8" s="7" t="n">
        <v>8.289999999999999</v>
      </c>
      <c r="F8" s="7" t="n">
        <v>10</v>
      </c>
      <c r="G8" s="7" t="n">
        <v>0</v>
      </c>
      <c r="H8" s="7" t="n">
        <v>4.97</v>
      </c>
      <c r="I8" s="7" t="n">
        <v>3.1</v>
      </c>
      <c r="J8" s="7" t="n">
        <v>44.66</v>
      </c>
      <c r="K8" s="7" t="n">
        <v>50.56</v>
      </c>
      <c r="L8" s="6" t="inlineStr">
        <is>
          <t>LCZ 3 (Compact low-rise)</t>
        </is>
      </c>
      <c r="M8" s="7" t="n">
        <v>72</v>
      </c>
      <c r="N8" s="6" t="n">
        <v>0</v>
      </c>
      <c r="O8" s="7" t="n">
        <v>2.08</v>
      </c>
      <c r="P8" s="7" t="n">
        <v>4.346207387801089</v>
      </c>
      <c r="Q8" s="7" t="n">
        <v>28.0223586998018</v>
      </c>
    </row>
    <row r="9">
      <c r="A9" s="5" t="n">
        <v>8</v>
      </c>
      <c r="B9" s="5" t="inlineStr">
        <is>
          <t>Phaya Thai District</t>
        </is>
      </c>
      <c r="C9" s="6" t="inlineStr">
        <is>
          <t>Severe</t>
        </is>
      </c>
      <c r="D9" s="7" t="n">
        <v>6.36</v>
      </c>
      <c r="E9" s="7" t="n">
        <v>7.38</v>
      </c>
      <c r="F9" s="7" t="n">
        <v>10</v>
      </c>
      <c r="G9" s="7" t="n">
        <v>2.14</v>
      </c>
      <c r="H9" s="7" t="n">
        <v>2.38</v>
      </c>
      <c r="I9" s="7" t="n">
        <v>2.8</v>
      </c>
      <c r="J9" s="7" t="n">
        <v>44.04</v>
      </c>
      <c r="K9" s="7" t="n">
        <v>48</v>
      </c>
      <c r="L9" s="6" t="inlineStr">
        <is>
          <t>LCZ 3 (Compact low-rise)</t>
        </is>
      </c>
      <c r="M9" s="7" t="n">
        <v>59.2</v>
      </c>
      <c r="N9" s="6" t="n">
        <v>3</v>
      </c>
      <c r="O9" s="7" t="n">
        <v>1.19</v>
      </c>
      <c r="P9" s="7" t="n">
        <v>24.15944885836817</v>
      </c>
      <c r="Q9" s="7" t="n">
        <v>47.09290612347775</v>
      </c>
    </row>
    <row r="10">
      <c r="A10" s="5" t="n">
        <v>9</v>
      </c>
      <c r="B10" s="5" t="inlineStr">
        <is>
          <t>Bang Phlat District</t>
        </is>
      </c>
      <c r="C10" s="6" t="inlineStr">
        <is>
          <t>Severe</t>
        </is>
      </c>
      <c r="D10" s="7" t="n">
        <v>6.36</v>
      </c>
      <c r="E10" s="7" t="n">
        <v>6.53</v>
      </c>
      <c r="F10" s="7" t="n">
        <v>10</v>
      </c>
      <c r="G10" s="7" t="n">
        <v>2.86</v>
      </c>
      <c r="H10" s="7" t="n">
        <v>3.55</v>
      </c>
      <c r="I10" s="7" t="n">
        <v>2.5</v>
      </c>
      <c r="J10" s="7" t="n">
        <v>43.59</v>
      </c>
      <c r="K10" s="7" t="n">
        <v>48.16</v>
      </c>
      <c r="L10" s="6" t="inlineStr">
        <is>
          <t>LCZ 3 (Compact low-rise)</t>
        </is>
      </c>
      <c r="M10" s="7" t="n">
        <v>70.90000000000001</v>
      </c>
      <c r="N10" s="6" t="n">
        <v>4</v>
      </c>
      <c r="O10" s="7" t="n">
        <v>1.59</v>
      </c>
      <c r="P10" s="7" t="n">
        <v>5.343934684605851</v>
      </c>
      <c r="Q10" s="7" t="n">
        <v>41.4660503275751</v>
      </c>
    </row>
    <row r="11">
      <c r="A11" s="5" t="n">
        <v>10</v>
      </c>
      <c r="B11" s="5" t="inlineStr">
        <is>
          <t>Suan Luang District</t>
        </is>
      </c>
      <c r="C11" s="6" t="inlineStr">
        <is>
          <t>Medium</t>
        </is>
      </c>
      <c r="D11" s="7" t="n">
        <v>6.26</v>
      </c>
      <c r="E11" s="7" t="n">
        <v>6.24</v>
      </c>
      <c r="F11" s="7" t="n">
        <v>10</v>
      </c>
      <c r="G11" s="7" t="n">
        <v>2.14</v>
      </c>
      <c r="H11" s="7" t="n">
        <v>5.41</v>
      </c>
      <c r="I11" s="7" t="n">
        <v>2.4</v>
      </c>
      <c r="J11" s="7" t="n">
        <v>43.4</v>
      </c>
      <c r="K11" s="7" t="n">
        <v>49.41</v>
      </c>
      <c r="L11" s="6" t="inlineStr">
        <is>
          <t>LCZ 3 (Compact low-rise)</t>
        </is>
      </c>
      <c r="M11" s="7" t="n">
        <v>70.8</v>
      </c>
      <c r="N11" s="6" t="n">
        <v>3</v>
      </c>
      <c r="O11" s="7" t="n">
        <v>2.23</v>
      </c>
      <c r="P11" s="7" t="n">
        <v>8.245709676272831</v>
      </c>
      <c r="Q11" s="7" t="n">
        <v>8.246343180776385</v>
      </c>
    </row>
    <row r="12">
      <c r="A12" s="5" t="n">
        <v>11</v>
      </c>
      <c r="B12" s="5" t="inlineStr">
        <is>
          <t>Don Mueang District</t>
        </is>
      </c>
      <c r="C12" s="6" t="inlineStr">
        <is>
          <t>Low</t>
        </is>
      </c>
      <c r="D12" s="7" t="n">
        <v>6.01</v>
      </c>
      <c r="E12" s="7" t="n">
        <v>10</v>
      </c>
      <c r="F12" s="7" t="n">
        <v>4</v>
      </c>
      <c r="G12" s="7" t="n">
        <v>2.14</v>
      </c>
      <c r="H12" s="7" t="n">
        <v>7.73</v>
      </c>
      <c r="I12" s="7" t="n">
        <v>3.7</v>
      </c>
      <c r="J12" s="7" t="n">
        <v>45.63</v>
      </c>
      <c r="K12" s="7" t="n">
        <v>55.36</v>
      </c>
      <c r="L12" s="6" t="inlineStr">
        <is>
          <t>LCZ 8 (Large low-rise)</t>
        </is>
      </c>
      <c r="M12" s="7" t="n">
        <v>69.5</v>
      </c>
      <c r="N12" s="6" t="n">
        <v>3</v>
      </c>
      <c r="O12" s="7" t="n">
        <v>3.03</v>
      </c>
      <c r="P12" s="7" t="n">
        <v>0.6392406497183001</v>
      </c>
      <c r="Q12" s="7" t="n">
        <v>3.761416309453861</v>
      </c>
    </row>
    <row r="13">
      <c r="A13" s="5" t="n">
        <v>12</v>
      </c>
      <c r="B13" s="5" t="inlineStr">
        <is>
          <t>Khlong San District</t>
        </is>
      </c>
      <c r="C13" s="6" t="inlineStr">
        <is>
          <t>Severe</t>
        </is>
      </c>
      <c r="D13" s="7" t="n">
        <v>5.86</v>
      </c>
      <c r="E13" s="7" t="n">
        <v>4.93</v>
      </c>
      <c r="F13" s="7" t="n">
        <v>10</v>
      </c>
      <c r="G13" s="7" t="n">
        <v>3.57</v>
      </c>
      <c r="H13" s="7" t="n">
        <v>2.44</v>
      </c>
      <c r="I13" s="7" t="n">
        <v>1.9</v>
      </c>
      <c r="J13" s="7" t="n">
        <v>42.91</v>
      </c>
      <c r="K13" s="7" t="n">
        <v>46.97</v>
      </c>
      <c r="L13" s="6" t="inlineStr">
        <is>
          <t>LCZ 3 (Compact low-rise)</t>
        </is>
      </c>
      <c r="M13" s="7" t="n">
        <v>64.8</v>
      </c>
      <c r="N13" s="6" t="n">
        <v>5</v>
      </c>
      <c r="O13" s="7" t="n">
        <v>1.21</v>
      </c>
      <c r="P13" s="7" t="n">
        <v>3.432735525625637</v>
      </c>
      <c r="Q13" s="7" t="n">
        <v>20.28828649278966</v>
      </c>
    </row>
    <row r="14">
      <c r="A14" s="5" t="n">
        <v>13</v>
      </c>
      <c r="B14" s="5" t="inlineStr">
        <is>
          <t>Bangkok Noi District</t>
        </is>
      </c>
      <c r="C14" s="6" t="inlineStr">
        <is>
          <t>Medium</t>
        </is>
      </c>
      <c r="D14" s="7" t="n">
        <v>5.75</v>
      </c>
      <c r="E14" s="7" t="n">
        <v>5.65</v>
      </c>
      <c r="F14" s="7" t="n">
        <v>10</v>
      </c>
      <c r="G14" s="7" t="n">
        <v>1.43</v>
      </c>
      <c r="H14" s="7" t="n">
        <v>4.19</v>
      </c>
      <c r="I14" s="7" t="n">
        <v>2.1</v>
      </c>
      <c r="J14" s="7" t="n">
        <v>43.64</v>
      </c>
      <c r="K14" s="7" t="n">
        <v>49.29</v>
      </c>
      <c r="L14" s="6" t="inlineStr">
        <is>
          <t>LCZ 3 (Compact low-rise)</t>
        </is>
      </c>
      <c r="M14" s="7" t="n">
        <v>73.59999999999999</v>
      </c>
      <c r="N14" s="6" t="n">
        <v>2</v>
      </c>
      <c r="O14" s="7" t="n">
        <v>1.81</v>
      </c>
      <c r="P14" s="7" t="n">
        <v>7.456186442969261</v>
      </c>
      <c r="Q14" s="7" t="n">
        <v>27.83923456736268</v>
      </c>
    </row>
    <row r="15">
      <c r="A15" s="5" t="n">
        <v>14</v>
      </c>
      <c r="B15" s="5" t="inlineStr">
        <is>
          <t>Bang Kapi District</t>
        </is>
      </c>
      <c r="C15" s="6" t="inlineStr">
        <is>
          <t>Medium</t>
        </is>
      </c>
      <c r="D15" s="7" t="n">
        <v>5.7</v>
      </c>
      <c r="E15" s="7" t="n">
        <v>7.26</v>
      </c>
      <c r="F15" s="7" t="n">
        <v>6</v>
      </c>
      <c r="G15" s="7" t="n">
        <v>2.86</v>
      </c>
      <c r="H15" s="7" t="n">
        <v>6.4</v>
      </c>
      <c r="I15" s="7" t="n">
        <v>2.7</v>
      </c>
      <c r="J15" s="7" t="n">
        <v>44.34</v>
      </c>
      <c r="K15" s="7" t="n">
        <v>53.28</v>
      </c>
      <c r="L15" s="6" t="inlineStr">
        <is>
          <t>LCZ 2 (Compact midrise)</t>
        </is>
      </c>
      <c r="M15" s="7" t="n">
        <v>71</v>
      </c>
      <c r="N15" s="6" t="n">
        <v>4</v>
      </c>
      <c r="O15" s="7" t="n">
        <v>2.57</v>
      </c>
      <c r="P15" s="7" t="n">
        <v>5.292411481994394</v>
      </c>
      <c r="Q15" s="7" t="n">
        <v>19.09519968018054</v>
      </c>
    </row>
    <row r="16">
      <c r="A16" s="5" t="n">
        <v>15</v>
      </c>
      <c r="B16" s="5" t="inlineStr">
        <is>
          <t>Thon Buri District</t>
        </is>
      </c>
      <c r="C16" s="6" t="inlineStr">
        <is>
          <t>Severe</t>
        </is>
      </c>
      <c r="D16" s="7" t="n">
        <v>5.64</v>
      </c>
      <c r="E16" s="7" t="n">
        <v>4.83</v>
      </c>
      <c r="F16" s="7" t="n">
        <v>10</v>
      </c>
      <c r="G16" s="7" t="n">
        <v>2.14</v>
      </c>
      <c r="H16" s="7" t="n">
        <v>4.19</v>
      </c>
      <c r="I16" s="7" t="n">
        <v>1.7</v>
      </c>
      <c r="J16" s="7" t="n">
        <v>43.87</v>
      </c>
      <c r="K16" s="7" t="n">
        <v>48.2</v>
      </c>
      <c r="L16" s="6" t="inlineStr">
        <is>
          <t>LCZ 3 (Compact low-rise)</t>
        </is>
      </c>
      <c r="M16" s="7" t="n">
        <v>69.59999999999999</v>
      </c>
      <c r="N16" s="6" t="n">
        <v>3</v>
      </c>
      <c r="O16" s="7" t="n">
        <v>1.81</v>
      </c>
      <c r="P16" s="7" t="n">
        <v>0.4552733595031658</v>
      </c>
      <c r="Q16" s="7" t="n">
        <v>27.94650678908657</v>
      </c>
    </row>
    <row r="17">
      <c r="A17" s="5" t="n">
        <v>16</v>
      </c>
      <c r="B17" s="5" t="inlineStr">
        <is>
          <t>Bangkok Yai District</t>
        </is>
      </c>
      <c r="C17" s="6" t="inlineStr">
        <is>
          <t>Severe</t>
        </is>
      </c>
      <c r="D17" s="7" t="n">
        <v>5.63</v>
      </c>
      <c r="E17" s="7" t="n">
        <v>5.37</v>
      </c>
      <c r="F17" s="7" t="n">
        <v>10</v>
      </c>
      <c r="G17" s="7" t="n">
        <v>2.14</v>
      </c>
      <c r="H17" s="7" t="n">
        <v>2.18</v>
      </c>
      <c r="I17" s="7" t="n">
        <v>1.9</v>
      </c>
      <c r="J17" s="7" t="n">
        <v>44.11</v>
      </c>
      <c r="K17" s="7" t="n">
        <v>48.07</v>
      </c>
      <c r="L17" s="6" t="inlineStr">
        <is>
          <t>LCZ 3 (Compact low-rise)</t>
        </is>
      </c>
      <c r="M17" s="7" t="n">
        <v>79.5</v>
      </c>
      <c r="N17" s="6" t="n">
        <v>3</v>
      </c>
      <c r="O17" s="7" t="n">
        <v>1.12</v>
      </c>
      <c r="P17" s="7" t="n">
        <v>17.88295316842188</v>
      </c>
      <c r="Q17" s="7" t="n">
        <v>35.78827599968149</v>
      </c>
    </row>
    <row r="18">
      <c r="A18" s="5" t="n">
        <v>17</v>
      </c>
      <c r="B18" s="5" t="inlineStr">
        <is>
          <t>Pathum Wan District</t>
        </is>
      </c>
      <c r="C18" s="6" t="inlineStr">
        <is>
          <t>Severe</t>
        </is>
      </c>
      <c r="D18" s="7" t="n">
        <v>5.49</v>
      </c>
      <c r="E18" s="7" t="n">
        <v>5.65</v>
      </c>
      <c r="F18" s="7" t="n">
        <v>6</v>
      </c>
      <c r="G18" s="7" t="n">
        <v>6.43</v>
      </c>
      <c r="H18" s="7" t="n">
        <v>1.08</v>
      </c>
      <c r="I18" s="7" t="n">
        <v>2.4</v>
      </c>
      <c r="J18" s="7" t="n">
        <v>41.82</v>
      </c>
      <c r="K18" s="7" t="n">
        <v>47.2</v>
      </c>
      <c r="L18" s="6" t="inlineStr">
        <is>
          <t>LCZ 2 (Compact midrise)</t>
        </is>
      </c>
      <c r="M18" s="7" t="n">
        <v>56.4</v>
      </c>
      <c r="N18" s="6" t="n">
        <v>9</v>
      </c>
      <c r="O18" s="7" t="n">
        <v>0.74</v>
      </c>
      <c r="P18" s="7" t="n">
        <v>8.958127403648023</v>
      </c>
      <c r="Q18" s="7" t="n">
        <v>94.79123716321928</v>
      </c>
    </row>
    <row r="19">
      <c r="A19" s="5" t="n">
        <v>18</v>
      </c>
      <c r="B19" s="5" t="inlineStr">
        <is>
          <t>Vadhana District</t>
        </is>
      </c>
      <c r="C19" s="6" t="inlineStr">
        <is>
          <t>Severe</t>
        </is>
      </c>
      <c r="D19" s="7" t="n">
        <v>5.21</v>
      </c>
      <c r="E19" s="7" t="n">
        <v>4.89</v>
      </c>
      <c r="F19" s="7" t="n">
        <v>10</v>
      </c>
      <c r="G19" s="7" t="n">
        <v>0.71</v>
      </c>
      <c r="H19" s="7" t="n">
        <v>3.2</v>
      </c>
      <c r="I19" s="7" t="n">
        <v>2</v>
      </c>
      <c r="J19" s="7" t="n">
        <v>42.2</v>
      </c>
      <c r="K19" s="7" t="n">
        <v>46.01</v>
      </c>
      <c r="L19" s="6" t="inlineStr">
        <is>
          <t>LCZ 3 (Compact low-rise)</t>
        </is>
      </c>
      <c r="M19" s="7" t="n">
        <v>58.6</v>
      </c>
      <c r="N19" s="6" t="n">
        <v>1</v>
      </c>
      <c r="O19" s="7" t="n">
        <v>1.47</v>
      </c>
      <c r="P19" s="7" t="n">
        <v>14.14743950930241</v>
      </c>
      <c r="Q19" s="7" t="n">
        <v>15.51767588527887</v>
      </c>
    </row>
    <row r="20">
      <c r="A20" s="5" t="n">
        <v>19</v>
      </c>
      <c r="B20" s="5" t="inlineStr">
        <is>
          <t>Khlong Toei District</t>
        </is>
      </c>
      <c r="C20" s="6" t="inlineStr">
        <is>
          <t>Medium</t>
        </is>
      </c>
      <c r="D20" s="7" t="n">
        <v>5.08</v>
      </c>
      <c r="E20" s="7" t="n">
        <v>3.72</v>
      </c>
      <c r="F20" s="7" t="n">
        <v>6</v>
      </c>
      <c r="G20" s="7" t="n">
        <v>6.43</v>
      </c>
      <c r="H20" s="7" t="n">
        <v>3.72</v>
      </c>
      <c r="I20" s="7" t="n">
        <v>1.5</v>
      </c>
      <c r="J20" s="7" t="n">
        <v>42.1</v>
      </c>
      <c r="K20" s="7" t="n">
        <v>50.33</v>
      </c>
      <c r="L20" s="6" t="inlineStr">
        <is>
          <t>LCZ 2 (Compact midrise)</t>
        </is>
      </c>
      <c r="M20" s="7" t="n">
        <v>57.8</v>
      </c>
      <c r="N20" s="6" t="n">
        <v>9</v>
      </c>
      <c r="O20" s="7" t="n">
        <v>1.65</v>
      </c>
      <c r="P20" s="7" t="n">
        <v>32.04800465406342</v>
      </c>
      <c r="Q20" s="7" t="n">
        <v>62.46640674105664</v>
      </c>
    </row>
    <row r="21">
      <c r="A21" s="5" t="n">
        <v>20</v>
      </c>
      <c r="B21" s="5" t="inlineStr">
        <is>
          <t>Ratchathewi District</t>
        </is>
      </c>
      <c r="C21" s="6" t="inlineStr">
        <is>
          <t>Severe</t>
        </is>
      </c>
      <c r="D21" s="7" t="n">
        <v>5.03</v>
      </c>
      <c r="E21" s="7" t="n">
        <v>6.48</v>
      </c>
      <c r="F21" s="7" t="n">
        <v>6</v>
      </c>
      <c r="G21" s="7" t="n">
        <v>2.86</v>
      </c>
      <c r="H21" s="7" t="n">
        <v>2.44</v>
      </c>
      <c r="I21" s="7" t="n">
        <v>2.6</v>
      </c>
      <c r="J21" s="7" t="n">
        <v>42.85</v>
      </c>
      <c r="K21" s="7" t="n">
        <v>47.35</v>
      </c>
      <c r="L21" s="6" t="inlineStr">
        <is>
          <t>LCZ 2 (Compact midrise)</t>
        </is>
      </c>
      <c r="M21" s="7" t="n">
        <v>52.3</v>
      </c>
      <c r="N21" s="6" t="n">
        <v>4</v>
      </c>
      <c r="O21" s="7" t="n">
        <v>1.21</v>
      </c>
      <c r="P21" s="7" t="n">
        <v>3.519620160749606</v>
      </c>
      <c r="Q21" s="7" t="n">
        <v>42.9538775015269</v>
      </c>
    </row>
    <row r="22">
      <c r="A22" s="5" t="n">
        <v>21</v>
      </c>
      <c r="B22" s="5" t="inlineStr">
        <is>
          <t>Sathon District</t>
        </is>
      </c>
      <c r="C22" s="6" t="inlineStr">
        <is>
          <t>Severe</t>
        </is>
      </c>
      <c r="D22" s="7" t="n">
        <v>5.02</v>
      </c>
      <c r="E22" s="7" t="n">
        <v>5</v>
      </c>
      <c r="F22" s="7" t="n">
        <v>10</v>
      </c>
      <c r="G22" s="7" t="n">
        <v>0</v>
      </c>
      <c r="H22" s="7" t="n">
        <v>2.76</v>
      </c>
      <c r="I22" s="7" t="n">
        <v>2</v>
      </c>
      <c r="J22" s="7" t="n">
        <v>42.49</v>
      </c>
      <c r="K22" s="7" t="n">
        <v>47.89</v>
      </c>
      <c r="L22" s="6" t="inlineStr">
        <is>
          <t>LCZ 3 (Compact low-rise)</t>
        </is>
      </c>
      <c r="M22" s="7" t="n">
        <v>59.6</v>
      </c>
      <c r="N22" s="6" t="n">
        <v>0</v>
      </c>
      <c r="O22" s="7" t="n">
        <v>1.32</v>
      </c>
      <c r="P22" s="7" t="n">
        <v>66.31155084548975</v>
      </c>
      <c r="Q22" s="7" t="n">
        <v>67.34173638625538</v>
      </c>
    </row>
    <row r="23">
      <c r="A23" s="5" t="n">
        <v>22</v>
      </c>
      <c r="B23" s="5" t="inlineStr">
        <is>
          <t>Lak Si District</t>
        </is>
      </c>
      <c r="C23" s="6" t="inlineStr">
        <is>
          <t>Medium</t>
        </is>
      </c>
      <c r="D23" s="7" t="n">
        <v>5.02</v>
      </c>
      <c r="E23" s="7" t="n">
        <v>9.390000000000001</v>
      </c>
      <c r="F23" s="7" t="n">
        <v>2</v>
      </c>
      <c r="G23" s="7" t="n">
        <v>2.86</v>
      </c>
      <c r="H23" s="7" t="n">
        <v>4.24</v>
      </c>
      <c r="I23" s="7" t="n">
        <v>3.6</v>
      </c>
      <c r="J23" s="7" t="n">
        <v>44.59</v>
      </c>
      <c r="K23" s="7" t="n">
        <v>50.27</v>
      </c>
      <c r="L23" s="6" t="inlineStr">
        <is>
          <t>LCZ 5 (Open midrise)</t>
        </is>
      </c>
      <c r="M23" s="7" t="n">
        <v>71</v>
      </c>
      <c r="N23" s="6" t="n">
        <v>4</v>
      </c>
      <c r="O23" s="7" t="n">
        <v>1.83</v>
      </c>
      <c r="P23" s="7" t="n">
        <v>5.7528937305298</v>
      </c>
      <c r="Q23" s="7" t="n">
        <v>21.11224013475613</v>
      </c>
    </row>
    <row r="24">
      <c r="A24" s="5" t="n">
        <v>23</v>
      </c>
      <c r="B24" s="5" t="inlineStr">
        <is>
          <t>Sai Mai District</t>
        </is>
      </c>
      <c r="C24" s="6" t="inlineStr">
        <is>
          <t>Low</t>
        </is>
      </c>
      <c r="D24" s="7" t="n">
        <v>4.85</v>
      </c>
      <c r="E24" s="7" t="n">
        <v>9.279999999999999</v>
      </c>
      <c r="F24" s="7" t="n">
        <v>2</v>
      </c>
      <c r="G24" s="7" t="n">
        <v>0</v>
      </c>
      <c r="H24" s="7" t="n">
        <v>9.970000000000001</v>
      </c>
      <c r="I24" s="7" t="n">
        <v>3.5</v>
      </c>
      <c r="J24" s="7" t="n">
        <v>44.91</v>
      </c>
      <c r="K24" s="7" t="n">
        <v>52.75</v>
      </c>
      <c r="L24" s="6" t="inlineStr">
        <is>
          <t>LCZ 5 (Open midrise)</t>
        </is>
      </c>
      <c r="M24" s="7" t="n">
        <v>68.3</v>
      </c>
      <c r="N24" s="6" t="n">
        <v>0</v>
      </c>
      <c r="O24" s="7" t="n">
        <v>3.8</v>
      </c>
      <c r="P24" s="7" t="n">
        <v>1.492720947163201</v>
      </c>
      <c r="Q24" s="7" t="n">
        <v>7.393953523588899</v>
      </c>
    </row>
    <row r="25">
      <c r="A25" s="5" t="n">
        <v>24</v>
      </c>
      <c r="B25" s="5" t="inlineStr">
        <is>
          <t>Bang Kho Laem District</t>
        </is>
      </c>
      <c r="C25" s="6" t="inlineStr">
        <is>
          <t>Severe</t>
        </is>
      </c>
      <c r="D25" s="7" t="n">
        <v>4.74</v>
      </c>
      <c r="E25" s="7" t="n">
        <v>4.09</v>
      </c>
      <c r="F25" s="7" t="n">
        <v>10</v>
      </c>
      <c r="G25" s="7" t="n">
        <v>0</v>
      </c>
      <c r="H25" s="7" t="n">
        <v>3.11</v>
      </c>
      <c r="I25" s="7" t="n">
        <v>1.6</v>
      </c>
      <c r="J25" s="7" t="n">
        <v>42.48</v>
      </c>
      <c r="K25" s="7" t="n">
        <v>48.22</v>
      </c>
      <c r="L25" s="6" t="inlineStr">
        <is>
          <t>LCZ 3 (Compact low-rise)</t>
        </is>
      </c>
      <c r="M25" s="7" t="n">
        <v>74.8</v>
      </c>
      <c r="N25" s="6" t="n">
        <v>0</v>
      </c>
      <c r="O25" s="7" t="n">
        <v>1.44</v>
      </c>
      <c r="P25" s="7" t="n">
        <v>43.05120204584554</v>
      </c>
      <c r="Q25" s="7" t="n">
        <v>49.20945529489372</v>
      </c>
    </row>
    <row r="26">
      <c r="A26" s="5" t="n">
        <v>25</v>
      </c>
      <c r="B26" s="5" t="inlineStr">
        <is>
          <t>Bang Rak District</t>
        </is>
      </c>
      <c r="C26" s="6" t="inlineStr">
        <is>
          <t>Severe</t>
        </is>
      </c>
      <c r="D26" s="7" t="n">
        <v>4.71</v>
      </c>
      <c r="E26" s="7" t="n">
        <v>5.42</v>
      </c>
      <c r="F26" s="7" t="n">
        <v>6</v>
      </c>
      <c r="G26" s="7" t="n">
        <v>3.57</v>
      </c>
      <c r="H26" s="7" t="n">
        <v>1.25</v>
      </c>
      <c r="I26" s="7" t="n">
        <v>2.3</v>
      </c>
      <c r="J26" s="7" t="n">
        <v>41.81</v>
      </c>
      <c r="K26" s="7" t="n">
        <v>45.04</v>
      </c>
      <c r="L26" s="6" t="inlineStr">
        <is>
          <t>LCZ 2 (Compact midrise)</t>
        </is>
      </c>
      <c r="M26" s="7" t="n">
        <v>60.9</v>
      </c>
      <c r="N26" s="6" t="n">
        <v>5</v>
      </c>
      <c r="O26" s="7" t="n">
        <v>0.8</v>
      </c>
      <c r="P26" s="7" t="n">
        <v>95.26537274363294</v>
      </c>
      <c r="Q26" s="7" t="n">
        <v>97.96447377118372</v>
      </c>
    </row>
    <row r="27">
      <c r="A27" s="5" t="n">
        <v>26</v>
      </c>
      <c r="B27" s="5" t="inlineStr">
        <is>
          <t>Khan Na Yao District</t>
        </is>
      </c>
      <c r="C27" s="6" t="inlineStr">
        <is>
          <t>Low</t>
        </is>
      </c>
      <c r="D27" s="7" t="n">
        <v>4.54</v>
      </c>
      <c r="E27" s="7" t="n">
        <v>7.57</v>
      </c>
      <c r="F27" s="7" t="n">
        <v>2</v>
      </c>
      <c r="G27" s="7" t="n">
        <v>3.57</v>
      </c>
      <c r="H27" s="7" t="n">
        <v>3.98</v>
      </c>
      <c r="I27" s="7" t="n">
        <v>2.8</v>
      </c>
      <c r="J27" s="7" t="n">
        <v>44.57</v>
      </c>
      <c r="K27" s="7" t="n">
        <v>51.2</v>
      </c>
      <c r="L27" s="6" t="inlineStr">
        <is>
          <t>LCZ 6 (Open low-rise)</t>
        </is>
      </c>
      <c r="M27" s="7" t="n">
        <v>69.09999999999999</v>
      </c>
      <c r="N27" s="6" t="n">
        <v>5</v>
      </c>
      <c r="O27" s="7" t="n">
        <v>1.74</v>
      </c>
      <c r="P27" s="7" t="n">
        <v>2.491656770021327</v>
      </c>
      <c r="Q27" s="7" t="n">
        <v>15.56504098193631</v>
      </c>
    </row>
    <row r="28">
      <c r="A28" s="5" t="n">
        <v>27</v>
      </c>
      <c r="B28" s="5" t="inlineStr">
        <is>
          <t>Rat Burana District</t>
        </is>
      </c>
      <c r="C28" s="6" t="inlineStr">
        <is>
          <t>Medium</t>
        </is>
      </c>
      <c r="D28" s="7" t="n">
        <v>4.35</v>
      </c>
      <c r="E28" s="7" t="n">
        <v>3.01</v>
      </c>
      <c r="F28" s="7" t="n">
        <v>10</v>
      </c>
      <c r="G28" s="7" t="n">
        <v>0</v>
      </c>
      <c r="H28" s="7" t="n">
        <v>2.97</v>
      </c>
      <c r="I28" s="7" t="n">
        <v>1.2</v>
      </c>
      <c r="J28" s="7" t="n">
        <v>42.02</v>
      </c>
      <c r="K28" s="7" t="n">
        <v>48.44</v>
      </c>
      <c r="L28" s="6" t="inlineStr">
        <is>
          <t>LCZ 3 (Compact low-rise)</t>
        </is>
      </c>
      <c r="M28" s="7" t="n">
        <v>76.3</v>
      </c>
      <c r="N28" s="6" t="n">
        <v>0</v>
      </c>
      <c r="O28" s="7" t="n">
        <v>1.39</v>
      </c>
      <c r="P28" s="7" t="n">
        <v>0.6770702575109213</v>
      </c>
      <c r="Q28" s="7" t="n">
        <v>16.88639515895176</v>
      </c>
    </row>
    <row r="29">
      <c r="A29" s="5" t="n">
        <v>28</v>
      </c>
      <c r="B29" s="5" t="inlineStr">
        <is>
          <t>Phra Nakhon District</t>
        </is>
      </c>
      <c r="C29" s="6" t="inlineStr">
        <is>
          <t>Severe</t>
        </is>
      </c>
      <c r="D29" s="7" t="n">
        <v>4.35</v>
      </c>
      <c r="E29" s="7" t="n">
        <v>5.94</v>
      </c>
      <c r="F29" s="7" t="n">
        <v>6</v>
      </c>
      <c r="G29" s="7" t="n">
        <v>1.43</v>
      </c>
      <c r="H29" s="7" t="n">
        <v>1.13</v>
      </c>
      <c r="I29" s="7" t="n">
        <v>2.3</v>
      </c>
      <c r="J29" s="7" t="n">
        <v>43.21</v>
      </c>
      <c r="K29" s="7" t="n">
        <v>48.01</v>
      </c>
      <c r="L29" s="6" t="inlineStr">
        <is>
          <t>LCZ 2 (Compact midrise)</t>
        </is>
      </c>
      <c r="M29" s="7" t="n">
        <v>66.59999999999999</v>
      </c>
      <c r="N29" s="6" t="n">
        <v>2</v>
      </c>
      <c r="O29" s="7" t="n">
        <v>0.76</v>
      </c>
      <c r="P29" s="7" t="n">
        <v>10.07390284253636</v>
      </c>
      <c r="Q29" s="7" t="n">
        <v>87.90225294254499</v>
      </c>
    </row>
    <row r="30">
      <c r="A30" s="5" t="n">
        <v>29</v>
      </c>
      <c r="B30" s="5" t="inlineStr">
        <is>
          <t>Phra Khanong District</t>
        </is>
      </c>
      <c r="C30" s="6" t="inlineStr">
        <is>
          <t>Medium</t>
        </is>
      </c>
      <c r="D30" s="7" t="n">
        <v>4.35</v>
      </c>
      <c r="E30" s="7" t="n">
        <v>5.26</v>
      </c>
      <c r="F30" s="7" t="n">
        <v>6</v>
      </c>
      <c r="G30" s="7" t="n">
        <v>1.43</v>
      </c>
      <c r="H30" s="7" t="n">
        <v>3.49</v>
      </c>
      <c r="I30" s="7" t="n">
        <v>2</v>
      </c>
      <c r="J30" s="7" t="n">
        <v>43.21</v>
      </c>
      <c r="K30" s="7" t="n">
        <v>47.7</v>
      </c>
      <c r="L30" s="6" t="inlineStr">
        <is>
          <t>LCZ 2 (Compact midrise)</t>
        </is>
      </c>
      <c r="M30" s="7" t="n">
        <v>71.59999999999999</v>
      </c>
      <c r="N30" s="6" t="n">
        <v>2</v>
      </c>
      <c r="O30" s="7" t="n">
        <v>1.57</v>
      </c>
      <c r="P30" s="7" t="n">
        <v>6.618467891561648</v>
      </c>
      <c r="Q30" s="7" t="n">
        <v>10.20283898493809</v>
      </c>
    </row>
    <row r="31">
      <c r="A31" s="5" t="n">
        <v>30</v>
      </c>
      <c r="B31" s="5" t="inlineStr">
        <is>
          <t>Pom Prap Sattru Phai District</t>
        </is>
      </c>
      <c r="C31" s="6" t="inlineStr">
        <is>
          <t>Severe</t>
        </is>
      </c>
      <c r="D31" s="7" t="n">
        <v>4.28</v>
      </c>
      <c r="E31" s="7" t="n">
        <v>6.81</v>
      </c>
      <c r="F31" s="7" t="n">
        <v>6</v>
      </c>
      <c r="G31" s="7" t="n">
        <v>0</v>
      </c>
      <c r="H31" s="7" t="n">
        <v>1.02</v>
      </c>
      <c r="I31" s="7" t="n">
        <v>2.5</v>
      </c>
      <c r="J31" s="7" t="n">
        <v>44.33</v>
      </c>
      <c r="K31" s="7" t="n">
        <v>46.84</v>
      </c>
      <c r="L31" s="6" t="inlineStr">
        <is>
          <t>LCZ 2 (Compact midrise)</t>
        </is>
      </c>
      <c r="M31" s="7" t="n">
        <v>66.7</v>
      </c>
      <c r="N31" s="6" t="n">
        <v>0</v>
      </c>
      <c r="O31" s="7" t="n">
        <v>0.72</v>
      </c>
      <c r="P31" s="7" t="n">
        <v>2.513299408119934</v>
      </c>
      <c r="Q31" s="7" t="n">
        <v>84.11277213529648</v>
      </c>
    </row>
    <row r="32">
      <c r="A32" s="5" t="n">
        <v>31</v>
      </c>
      <c r="B32" s="5" t="inlineStr">
        <is>
          <t>Bang Na District</t>
        </is>
      </c>
      <c r="C32" s="6" t="inlineStr">
        <is>
          <t>Medium</t>
        </is>
      </c>
      <c r="D32" s="7" t="n">
        <v>4.19</v>
      </c>
      <c r="E32" s="7" t="n">
        <v>4.99</v>
      </c>
      <c r="F32" s="7" t="n">
        <v>4</v>
      </c>
      <c r="G32" s="7" t="n">
        <v>3.57</v>
      </c>
      <c r="H32" s="7" t="n">
        <v>3.49</v>
      </c>
      <c r="I32" s="7" t="n">
        <v>1.9</v>
      </c>
      <c r="J32" s="7" t="n">
        <v>43.09</v>
      </c>
      <c r="K32" s="7" t="n">
        <v>50.18</v>
      </c>
      <c r="L32" s="6" t="inlineStr">
        <is>
          <t>LCZ 8 (Large low-rise)</t>
        </is>
      </c>
      <c r="M32" s="7" t="n">
        <v>65.40000000000001</v>
      </c>
      <c r="N32" s="6" t="n">
        <v>5</v>
      </c>
      <c r="O32" s="7" t="n">
        <v>1.57</v>
      </c>
      <c r="P32" s="7" t="n">
        <v>16.73095491262689</v>
      </c>
      <c r="Q32" s="7" t="n">
        <v>54.43737608834384</v>
      </c>
    </row>
    <row r="33">
      <c r="A33" s="5" t="n">
        <v>32</v>
      </c>
      <c r="B33" s="5" t="inlineStr">
        <is>
          <t>Samphanthawong District</t>
        </is>
      </c>
      <c r="C33" s="6" t="inlineStr">
        <is>
          <t>Severe</t>
        </is>
      </c>
      <c r="D33" s="7" t="n">
        <v>3.99</v>
      </c>
      <c r="E33" s="7" t="n">
        <v>5.76</v>
      </c>
      <c r="F33" s="7" t="n">
        <v>6</v>
      </c>
      <c r="G33" s="7" t="n">
        <v>0.71</v>
      </c>
      <c r="H33" s="7" t="n">
        <v>0</v>
      </c>
      <c r="I33" s="7" t="n">
        <v>2.3</v>
      </c>
      <c r="J33" s="7" t="n">
        <v>42.72</v>
      </c>
      <c r="K33" s="7" t="n">
        <v>45.19</v>
      </c>
      <c r="L33" s="6" t="inlineStr">
        <is>
          <t>LCZ 2 (Compact midrise)</t>
        </is>
      </c>
      <c r="M33" s="7" t="n">
        <v>70.40000000000001</v>
      </c>
      <c r="N33" s="6" t="n">
        <v>1</v>
      </c>
      <c r="O33" s="7" t="n">
        <v>0.37</v>
      </c>
      <c r="P33" s="7" t="n">
        <v>1.349785276111558</v>
      </c>
      <c r="Q33" s="7" t="n">
        <v>14.95288125634725</v>
      </c>
    </row>
    <row r="34">
      <c r="A34" s="5" t="n">
        <v>33</v>
      </c>
      <c r="B34" s="5" t="inlineStr">
        <is>
          <t>Dusit District</t>
        </is>
      </c>
      <c r="C34" s="6" t="inlineStr">
        <is>
          <t>Severe</t>
        </is>
      </c>
      <c r="D34" s="7" t="n">
        <v>3.86</v>
      </c>
      <c r="E34" s="7" t="n">
        <v>6.72</v>
      </c>
      <c r="F34" s="7" t="n">
        <v>4</v>
      </c>
      <c r="G34" s="7" t="n">
        <v>0</v>
      </c>
      <c r="H34" s="7" t="n">
        <v>3.08</v>
      </c>
      <c r="I34" s="7" t="n">
        <v>2.6</v>
      </c>
      <c r="J34" s="7" t="n">
        <v>43.49</v>
      </c>
      <c r="K34" s="7" t="n">
        <v>47.91</v>
      </c>
      <c r="L34" s="6" t="inlineStr">
        <is>
          <t>LCZ 8 (Large low-rise)</t>
        </is>
      </c>
      <c r="M34" s="7" t="n">
        <v>66.40000000000001</v>
      </c>
      <c r="N34" s="6" t="n">
        <v>0</v>
      </c>
      <c r="O34" s="7" t="n">
        <v>1.43</v>
      </c>
      <c r="P34" s="7" t="n">
        <v>15.14022250611177</v>
      </c>
      <c r="Q34" s="7" t="n">
        <v>56.84088237759527</v>
      </c>
    </row>
    <row r="35">
      <c r="A35" s="5" t="n">
        <v>34</v>
      </c>
      <c r="B35" s="5" t="inlineStr">
        <is>
          <t>Huai Khwang District</t>
        </is>
      </c>
      <c r="C35" s="6" t="inlineStr">
        <is>
          <t>Medium</t>
        </is>
      </c>
      <c r="D35" s="7" t="n">
        <v>3.8</v>
      </c>
      <c r="E35" s="7" t="n">
        <v>5.97</v>
      </c>
      <c r="F35" s="7" t="n">
        <v>4</v>
      </c>
      <c r="G35" s="7" t="n">
        <v>0.71</v>
      </c>
      <c r="H35" s="7" t="n">
        <v>3.34</v>
      </c>
      <c r="I35" s="7" t="n">
        <v>2.3</v>
      </c>
      <c r="J35" s="7" t="n">
        <v>43.29</v>
      </c>
      <c r="K35" s="7" t="n">
        <v>50.28</v>
      </c>
      <c r="L35" s="6" t="inlineStr">
        <is>
          <t>LCZ 8 (Large low-rise)</t>
        </is>
      </c>
      <c r="M35" s="7" t="n">
        <v>65.90000000000001</v>
      </c>
      <c r="N35" s="6" t="n">
        <v>1</v>
      </c>
      <c r="O35" s="7" t="n">
        <v>1.52</v>
      </c>
      <c r="P35" s="7" t="n">
        <v>17.73887766634201</v>
      </c>
      <c r="Q35" s="7" t="n">
        <v>32.45471710261896</v>
      </c>
    </row>
    <row r="36">
      <c r="A36" s="5" t="n">
        <v>35</v>
      </c>
      <c r="B36" s="5" t="inlineStr">
        <is>
          <t>Min Buri District</t>
        </is>
      </c>
      <c r="C36" s="6" t="inlineStr">
        <is>
          <t>Low</t>
        </is>
      </c>
      <c r="D36" s="7" t="n">
        <v>3.72</v>
      </c>
      <c r="E36" s="7" t="n">
        <v>5.05</v>
      </c>
      <c r="F36" s="7" t="n">
        <v>2</v>
      </c>
      <c r="G36" s="7" t="n">
        <v>2.86</v>
      </c>
      <c r="H36" s="7" t="n">
        <v>6.4</v>
      </c>
      <c r="I36" s="7" t="n">
        <v>2</v>
      </c>
      <c r="J36" s="7" t="n">
        <v>42.65</v>
      </c>
      <c r="K36" s="7" t="n">
        <v>52.18</v>
      </c>
      <c r="L36" s="6" t="inlineStr">
        <is>
          <t>LCZ 6 (Open low-rise)</t>
        </is>
      </c>
      <c r="M36" s="7" t="n">
        <v>69.8</v>
      </c>
      <c r="N36" s="6" t="n">
        <v>4</v>
      </c>
      <c r="O36" s="7" t="n">
        <v>2.57</v>
      </c>
      <c r="P36" s="7" t="n">
        <v>0.5984165695647456</v>
      </c>
      <c r="Q36" s="7" t="n">
        <v>3.666778761958474</v>
      </c>
    </row>
    <row r="37">
      <c r="A37" s="5" t="n">
        <v>36</v>
      </c>
      <c r="B37" s="5" t="inlineStr">
        <is>
          <t>Prawet District</t>
        </is>
      </c>
      <c r="C37" s="6" t="inlineStr">
        <is>
          <t>Low</t>
        </is>
      </c>
      <c r="D37" s="7" t="n">
        <v>3.62</v>
      </c>
      <c r="E37" s="7" t="n">
        <v>4.65</v>
      </c>
      <c r="F37" s="7" t="n">
        <v>2</v>
      </c>
      <c r="G37" s="7" t="n">
        <v>2.14</v>
      </c>
      <c r="H37" s="7" t="n">
        <v>8.6</v>
      </c>
      <c r="I37" s="7" t="n">
        <v>1.8</v>
      </c>
      <c r="J37" s="7" t="n">
        <v>42.78</v>
      </c>
      <c r="K37" s="7" t="n">
        <v>51.34</v>
      </c>
      <c r="L37" s="6" t="inlineStr">
        <is>
          <t>LCZ 6 (Open low-rise)</t>
        </is>
      </c>
      <c r="M37" s="7" t="n">
        <v>70.40000000000001</v>
      </c>
      <c r="N37" s="6" t="n">
        <v>3</v>
      </c>
      <c r="O37" s="7" t="n">
        <v>3.33</v>
      </c>
      <c r="P37" s="7" t="n">
        <v>11.7057922715133</v>
      </c>
      <c r="Q37" s="7" t="n">
        <v>12.74768578897068</v>
      </c>
    </row>
    <row r="38">
      <c r="A38" s="5" t="n">
        <v>37</v>
      </c>
      <c r="B38" s="5" t="inlineStr">
        <is>
          <t>Khlong Sam Wa District</t>
        </is>
      </c>
      <c r="C38" s="6" t="inlineStr">
        <is>
          <t>Low</t>
        </is>
      </c>
      <c r="D38" s="7" t="n">
        <v>3.56</v>
      </c>
      <c r="E38" s="7" t="n">
        <v>5.59</v>
      </c>
      <c r="F38" s="7" t="n">
        <v>2</v>
      </c>
      <c r="G38" s="7" t="n">
        <v>0</v>
      </c>
      <c r="H38" s="7" t="n">
        <v>10</v>
      </c>
      <c r="I38" s="7" t="n">
        <v>2.3</v>
      </c>
      <c r="J38" s="7" t="n">
        <v>42.26</v>
      </c>
      <c r="K38" s="7" t="n">
        <v>51.34</v>
      </c>
      <c r="L38" s="6" t="inlineStr">
        <is>
          <t>LCZ 5 (Open midrise)</t>
        </is>
      </c>
      <c r="M38" s="7" t="n">
        <v>72.5</v>
      </c>
      <c r="N38" s="6" t="n">
        <v>0</v>
      </c>
      <c r="O38" s="7" t="n">
        <v>3.81</v>
      </c>
      <c r="P38" s="7" t="n">
        <v>0.2996066419548169</v>
      </c>
      <c r="Q38" s="7" t="n">
        <v>2.482818555131029</v>
      </c>
    </row>
    <row r="39">
      <c r="A39" s="5" t="n">
        <v>38</v>
      </c>
      <c r="B39" s="5" t="inlineStr">
        <is>
          <t>Phasi Charoen District</t>
        </is>
      </c>
      <c r="C39" s="6" t="inlineStr">
        <is>
          <t>Medium</t>
        </is>
      </c>
      <c r="D39" s="7" t="n">
        <v>3.46</v>
      </c>
      <c r="E39" s="7" t="n">
        <v>4.09</v>
      </c>
      <c r="F39" s="7" t="n">
        <v>2</v>
      </c>
      <c r="G39" s="7" t="n">
        <v>3.57</v>
      </c>
      <c r="H39" s="7" t="n">
        <v>5.38</v>
      </c>
      <c r="I39" s="7" t="n">
        <v>1.5</v>
      </c>
      <c r="J39" s="7" t="n">
        <v>43.09</v>
      </c>
      <c r="K39" s="7" t="n">
        <v>47.39</v>
      </c>
      <c r="L39" s="6" t="inlineStr">
        <is>
          <t>LCZ 5 (Open midrise)</t>
        </is>
      </c>
      <c r="M39" s="7" t="n">
        <v>78.90000000000001</v>
      </c>
      <c r="N39" s="6" t="n">
        <v>5</v>
      </c>
      <c r="O39" s="7" t="n">
        <v>2.22</v>
      </c>
      <c r="P39" s="7" t="n">
        <v>1.621493619381764</v>
      </c>
      <c r="Q39" s="7" t="n">
        <v>14.17860873544437</v>
      </c>
    </row>
    <row r="40">
      <c r="A40" s="5" t="n">
        <v>39</v>
      </c>
      <c r="B40" s="5" t="inlineStr">
        <is>
          <t>Bang Khae District</t>
        </is>
      </c>
      <c r="C40" s="6" t="inlineStr">
        <is>
          <t>Low</t>
        </is>
      </c>
      <c r="D40" s="7" t="n">
        <v>3.18</v>
      </c>
      <c r="E40" s="7" t="n">
        <v>3.76</v>
      </c>
      <c r="F40" s="7" t="n">
        <v>2</v>
      </c>
      <c r="G40" s="7" t="n">
        <v>1.43</v>
      </c>
      <c r="H40" s="7" t="n">
        <v>9.1</v>
      </c>
      <c r="I40" s="7" t="n">
        <v>1.4</v>
      </c>
      <c r="J40" s="7" t="n">
        <v>42.8</v>
      </c>
      <c r="K40" s="7" t="n">
        <v>50.94</v>
      </c>
      <c r="L40" s="6" t="inlineStr">
        <is>
          <t>LCZ 6 (Open low-rise)</t>
        </is>
      </c>
      <c r="M40" s="7" t="n">
        <v>81.2</v>
      </c>
      <c r="N40" s="6" t="n">
        <v>2</v>
      </c>
      <c r="O40" s="7" t="n">
        <v>3.5</v>
      </c>
      <c r="P40" s="7" t="n">
        <v>3.529700037657728</v>
      </c>
      <c r="Q40" s="7" t="n">
        <v>12.82678617025434</v>
      </c>
    </row>
    <row r="41">
      <c r="A41" s="5" t="n">
        <v>40</v>
      </c>
      <c r="B41" s="5" t="inlineStr">
        <is>
          <t>Saphan Sung District</t>
        </is>
      </c>
      <c r="C41" s="6" t="inlineStr">
        <is>
          <t>Low</t>
        </is>
      </c>
      <c r="D41" s="7" t="n">
        <v>3.11</v>
      </c>
      <c r="E41" s="7" t="n">
        <v>6.03</v>
      </c>
      <c r="F41" s="7" t="n">
        <v>2</v>
      </c>
      <c r="G41" s="7" t="n">
        <v>0</v>
      </c>
      <c r="H41" s="7" t="n">
        <v>4.01</v>
      </c>
      <c r="I41" s="7" t="n">
        <v>2.2</v>
      </c>
      <c r="J41" s="7" t="n">
        <v>44.06</v>
      </c>
      <c r="K41" s="7" t="n">
        <v>49.18</v>
      </c>
      <c r="L41" s="6" t="inlineStr">
        <is>
          <t>LCZ 6 (Open low-rise)</t>
        </is>
      </c>
      <c r="M41" s="7" t="n">
        <v>70.2</v>
      </c>
      <c r="N41" s="6" t="n">
        <v>0</v>
      </c>
      <c r="O41" s="7" t="n">
        <v>1.75</v>
      </c>
      <c r="P41" s="7" t="n">
        <v>5.47407711125932</v>
      </c>
      <c r="Q41" s="7" t="n">
        <v>9.895664276151484</v>
      </c>
    </row>
    <row r="42">
      <c r="A42" s="5" t="n">
        <v>41</v>
      </c>
      <c r="B42" s="5" t="inlineStr">
        <is>
          <t>Taling Chan District</t>
        </is>
      </c>
      <c r="C42" s="6" t="inlineStr">
        <is>
          <t>Medium</t>
        </is>
      </c>
      <c r="D42" s="7" t="n">
        <v>2.74</v>
      </c>
      <c r="E42" s="7" t="n">
        <v>4.89</v>
      </c>
      <c r="F42" s="7" t="n">
        <v>2</v>
      </c>
      <c r="G42" s="7" t="n">
        <v>0</v>
      </c>
      <c r="H42" s="7" t="n">
        <v>4.3</v>
      </c>
      <c r="I42" s="7" t="n">
        <v>1.9</v>
      </c>
      <c r="J42" s="7" t="n">
        <v>42.82</v>
      </c>
      <c r="K42" s="7" t="n">
        <v>48.63</v>
      </c>
      <c r="L42" s="6" t="inlineStr">
        <is>
          <t>LCZ 5 (Open midrise)</t>
        </is>
      </c>
      <c r="M42" s="7" t="n">
        <v>84.90000000000001</v>
      </c>
      <c r="N42" s="6" t="n">
        <v>0</v>
      </c>
      <c r="O42" s="7" t="n">
        <v>1.85</v>
      </c>
      <c r="P42" s="7" t="n">
        <v>5.693575609090911</v>
      </c>
      <c r="Q42" s="7" t="n">
        <v>23.26001556167238</v>
      </c>
    </row>
    <row r="43">
      <c r="A43" s="5" t="n">
        <v>42</v>
      </c>
      <c r="B43" s="5" t="inlineStr">
        <is>
          <t>Yan Nawa District</t>
        </is>
      </c>
      <c r="C43" s="6" t="inlineStr">
        <is>
          <t>Medium</t>
        </is>
      </c>
      <c r="D43" s="7" t="n">
        <v>2.72</v>
      </c>
      <c r="E43" s="7" t="n">
        <v>3.54</v>
      </c>
      <c r="F43" s="7" t="n">
        <v>4</v>
      </c>
      <c r="G43" s="7" t="n">
        <v>0</v>
      </c>
      <c r="H43" s="7" t="n">
        <v>2.85</v>
      </c>
      <c r="I43" s="7" t="n">
        <v>1.5</v>
      </c>
      <c r="J43" s="7" t="n">
        <v>41.6</v>
      </c>
      <c r="K43" s="7" t="n">
        <v>48.04</v>
      </c>
      <c r="L43" s="6" t="inlineStr">
        <is>
          <t>LCZ 8 (Large low-rise)</t>
        </is>
      </c>
      <c r="M43" s="7" t="n">
        <v>68.3</v>
      </c>
      <c r="N43" s="6" t="n">
        <v>0</v>
      </c>
      <c r="O43" s="7" t="n">
        <v>1.35</v>
      </c>
      <c r="P43" s="7" t="n">
        <v>71.17195774707528</v>
      </c>
      <c r="Q43" s="7" t="n">
        <v>80.95896467516278</v>
      </c>
    </row>
    <row r="44">
      <c r="A44" s="5" t="n">
        <v>43</v>
      </c>
      <c r="B44" s="5" t="inlineStr">
        <is>
          <t>Nong Chok District</t>
        </is>
      </c>
      <c r="C44" s="6" t="inlineStr">
        <is>
          <t>Low</t>
        </is>
      </c>
      <c r="D44" s="7" t="n">
        <v>2.65</v>
      </c>
      <c r="E44" s="7" t="n">
        <v>3.42</v>
      </c>
      <c r="F44" s="7" t="n">
        <v>2</v>
      </c>
      <c r="G44" s="7" t="n">
        <v>0</v>
      </c>
      <c r="H44" s="7" t="n">
        <v>8.52</v>
      </c>
      <c r="I44" s="7" t="n">
        <v>1.5</v>
      </c>
      <c r="J44" s="7" t="n">
        <v>41.28</v>
      </c>
      <c r="K44" s="7" t="n">
        <v>51.82</v>
      </c>
      <c r="L44" s="6" t="inlineStr">
        <is>
          <t>LCZ D (Low plants)</t>
        </is>
      </c>
      <c r="M44" s="7" t="n">
        <v>78.40000000000001</v>
      </c>
      <c r="N44" s="6" t="n">
        <v>0</v>
      </c>
      <c r="O44" s="7" t="n">
        <v>3.3</v>
      </c>
      <c r="P44" s="7" t="n">
        <v>0.3484446295808296</v>
      </c>
      <c r="Q44" s="7" t="n">
        <v>3.226896487388248</v>
      </c>
    </row>
    <row r="45">
      <c r="A45" s="5" t="n">
        <v>44</v>
      </c>
      <c r="B45" s="5" t="inlineStr">
        <is>
          <t>Lat Krabang District</t>
        </is>
      </c>
      <c r="C45" s="6" t="inlineStr">
        <is>
          <t>Low</t>
        </is>
      </c>
      <c r="D45" s="7" t="n">
        <v>2.62</v>
      </c>
      <c r="E45" s="7" t="n">
        <v>3.39</v>
      </c>
      <c r="F45" s="7" t="n">
        <v>2</v>
      </c>
      <c r="G45" s="7" t="n">
        <v>0</v>
      </c>
      <c r="H45" s="7" t="n">
        <v>8.369999999999999</v>
      </c>
      <c r="I45" s="7" t="n">
        <v>1.4</v>
      </c>
      <c r="J45" s="7" t="n">
        <v>41.81</v>
      </c>
      <c r="K45" s="7" t="n">
        <v>53.35</v>
      </c>
      <c r="L45" s="6" t="inlineStr">
        <is>
          <t>LCZ D (Low plants)</t>
        </is>
      </c>
      <c r="M45" s="7" t="n">
        <v>75.7</v>
      </c>
      <c r="N45" s="6" t="n">
        <v>0</v>
      </c>
      <c r="O45" s="7" t="n">
        <v>3.25</v>
      </c>
      <c r="P45" s="7" t="n">
        <v>1.858380063097757</v>
      </c>
      <c r="Q45" s="7" t="n">
        <v>17.26722973139986</v>
      </c>
    </row>
    <row r="46">
      <c r="A46" s="5" t="n">
        <v>45</v>
      </c>
      <c r="B46" s="5" t="inlineStr">
        <is>
          <t>Nong Khaem District</t>
        </is>
      </c>
      <c r="C46" s="6" t="inlineStr">
        <is>
          <t>Low</t>
        </is>
      </c>
      <c r="D46" s="7" t="n">
        <v>2.37</v>
      </c>
      <c r="E46" s="7" t="n">
        <v>3.02</v>
      </c>
      <c r="F46" s="7" t="n">
        <v>2</v>
      </c>
      <c r="G46" s="7" t="n">
        <v>0</v>
      </c>
      <c r="H46" s="7" t="n">
        <v>7.15</v>
      </c>
      <c r="I46" s="7" t="n">
        <v>1.1</v>
      </c>
      <c r="J46" s="7" t="n">
        <v>42.65</v>
      </c>
      <c r="K46" s="7" t="n">
        <v>50.99</v>
      </c>
      <c r="L46" s="6" t="inlineStr">
        <is>
          <t>LCZ 5 (Open midrise)</t>
        </is>
      </c>
      <c r="M46" s="7" t="n">
        <v>77.3</v>
      </c>
      <c r="N46" s="6" t="n">
        <v>0</v>
      </c>
      <c r="O46" s="7" t="n">
        <v>2.83</v>
      </c>
      <c r="P46" s="7" t="n">
        <v>1.824697705597391</v>
      </c>
      <c r="Q46" s="7" t="n">
        <v>13.35221226512618</v>
      </c>
    </row>
    <row r="47">
      <c r="A47" s="5" t="n">
        <v>46</v>
      </c>
      <c r="B47" s="5" t="inlineStr">
        <is>
          <t>Thawi Watthana District</t>
        </is>
      </c>
      <c r="C47" s="6" t="inlineStr">
        <is>
          <t>Low</t>
        </is>
      </c>
      <c r="D47" s="7" t="n">
        <v>2.33</v>
      </c>
      <c r="E47" s="7" t="n">
        <v>4.04</v>
      </c>
      <c r="F47" s="7" t="n">
        <v>2</v>
      </c>
      <c r="G47" s="7" t="n">
        <v>0</v>
      </c>
      <c r="H47" s="7" t="n">
        <v>3.11</v>
      </c>
      <c r="I47" s="7" t="n">
        <v>1.6</v>
      </c>
      <c r="J47" s="7" t="n">
        <v>42.36</v>
      </c>
      <c r="K47" s="7" t="n">
        <v>54.09</v>
      </c>
      <c r="L47" s="6" t="inlineStr">
        <is>
          <t>LCZ 5 (Open midrise)</t>
        </is>
      </c>
      <c r="M47" s="7" t="n">
        <v>84.59999999999999</v>
      </c>
      <c r="N47" s="6" t="n">
        <v>0</v>
      </c>
      <c r="O47" s="7" t="n">
        <v>1.44</v>
      </c>
      <c r="P47" s="7" t="n">
        <v>12.50387832954222</v>
      </c>
      <c r="Q47" s="7" t="n">
        <v>32.50261422194466</v>
      </c>
    </row>
    <row r="48">
      <c r="A48" s="5" t="n">
        <v>47</v>
      </c>
      <c r="B48" s="5" t="inlineStr">
        <is>
          <t>Chom Thong District</t>
        </is>
      </c>
      <c r="C48" s="6" t="inlineStr">
        <is>
          <t>Medium</t>
        </is>
      </c>
      <c r="D48" s="7" t="n">
        <v>2.32</v>
      </c>
      <c r="E48" s="7" t="n">
        <v>3.04</v>
      </c>
      <c r="F48" s="7" t="n">
        <v>2</v>
      </c>
      <c r="G48" s="7" t="n">
        <v>0</v>
      </c>
      <c r="H48" s="7" t="n">
        <v>6.51</v>
      </c>
      <c r="I48" s="7" t="n">
        <v>1.1</v>
      </c>
      <c r="J48" s="7" t="n">
        <v>42.71</v>
      </c>
      <c r="K48" s="7" t="n">
        <v>49.22</v>
      </c>
      <c r="L48" s="6" t="inlineStr">
        <is>
          <t>LCZ 5 (Open midrise)</t>
        </is>
      </c>
      <c r="M48" s="7" t="n">
        <v>80.3</v>
      </c>
      <c r="N48" s="6" t="n">
        <v>0</v>
      </c>
      <c r="O48" s="7" t="n">
        <v>2.61</v>
      </c>
      <c r="P48" s="7" t="n">
        <v>8.550156324265371</v>
      </c>
      <c r="Q48" s="7" t="n">
        <v>26.59633841853233</v>
      </c>
    </row>
    <row r="49">
      <c r="A49" s="5" t="n">
        <v>48</v>
      </c>
      <c r="B49" s="5" t="inlineStr">
        <is>
          <t>Bang Bon District</t>
        </is>
      </c>
      <c r="C49" s="6" t="inlineStr">
        <is>
          <t>Low</t>
        </is>
      </c>
      <c r="D49" s="7" t="n">
        <v>1.78</v>
      </c>
      <c r="E49" s="7" t="n">
        <v>2.15</v>
      </c>
      <c r="F49" s="7" t="n">
        <v>2</v>
      </c>
      <c r="G49" s="7" t="n">
        <v>0</v>
      </c>
      <c r="H49" s="7" t="n">
        <v>4.27</v>
      </c>
      <c r="I49" s="7" t="n">
        <v>0.9</v>
      </c>
      <c r="J49" s="7" t="n">
        <v>41.51</v>
      </c>
      <c r="K49" s="7" t="n">
        <v>51.42</v>
      </c>
      <c r="L49" s="6" t="inlineStr">
        <is>
          <t>LCZ 6 (Open low-rise)</t>
        </is>
      </c>
      <c r="M49" s="7" t="n">
        <v>75</v>
      </c>
      <c r="N49" s="6" t="n">
        <v>0</v>
      </c>
      <c r="O49" s="7" t="n">
        <v>1.84</v>
      </c>
      <c r="P49" s="7" t="n">
        <v>1.461526390892929</v>
      </c>
      <c r="Q49" s="7" t="n">
        <v>11.39173004631925</v>
      </c>
    </row>
    <row r="50">
      <c r="A50" s="5" t="n">
        <v>49</v>
      </c>
      <c r="B50" s="5" t="inlineStr">
        <is>
          <t>Thung Khru District</t>
        </is>
      </c>
      <c r="C50" s="6" t="inlineStr">
        <is>
          <t>Low</t>
        </is>
      </c>
      <c r="D50" s="7" t="n">
        <v>1.68</v>
      </c>
      <c r="E50" s="7" t="n">
        <v>1.51</v>
      </c>
      <c r="F50" s="7" t="n">
        <v>2</v>
      </c>
      <c r="G50" s="7" t="n">
        <v>0</v>
      </c>
      <c r="H50" s="7" t="n">
        <v>5.47</v>
      </c>
      <c r="I50" s="7" t="n">
        <v>0.7</v>
      </c>
      <c r="J50" s="7" t="n">
        <v>41.02</v>
      </c>
      <c r="K50" s="7" t="n">
        <v>47.3</v>
      </c>
      <c r="L50" s="6" t="inlineStr">
        <is>
          <t>LCZ 6 (Open low-rise)</t>
        </is>
      </c>
      <c r="M50" s="7" t="n">
        <v>68</v>
      </c>
      <c r="N50" s="6" t="n">
        <v>0</v>
      </c>
      <c r="O50" s="7" t="n">
        <v>2.25</v>
      </c>
      <c r="P50" s="7" t="n">
        <v>6.08396934992015</v>
      </c>
      <c r="Q50" s="7" t="n">
        <v>29.82298741812745</v>
      </c>
    </row>
    <row r="51">
      <c r="A51" s="5" t="n">
        <v>50</v>
      </c>
      <c r="B51" s="5" t="inlineStr">
        <is>
          <t>Bang Khun Thian District</t>
        </is>
      </c>
      <c r="C51" s="6" t="inlineStr">
        <is>
          <t>Low</t>
        </is>
      </c>
      <c r="D51" s="7" t="n">
        <v>1.47</v>
      </c>
      <c r="E51" s="7" t="n">
        <v>0</v>
      </c>
      <c r="F51" s="7" t="n">
        <v>2</v>
      </c>
      <c r="G51" s="7" t="n">
        <v>0</v>
      </c>
      <c r="H51" s="7" t="n">
        <v>8.69</v>
      </c>
      <c r="I51" s="7" t="n">
        <v>0.6</v>
      </c>
      <c r="J51" s="7" t="n">
        <v>37.55</v>
      </c>
      <c r="K51" s="7" t="n">
        <v>50.41</v>
      </c>
      <c r="L51" s="6" t="inlineStr">
        <is>
          <t>LCZ C (Bush, scrub)</t>
        </is>
      </c>
      <c r="M51" s="7" t="n">
        <v>77.90000000000001</v>
      </c>
      <c r="N51" s="6" t="n">
        <v>0</v>
      </c>
      <c r="O51" s="7" t="n">
        <v>3.36</v>
      </c>
      <c r="P51" s="7" t="n">
        <v>2.624194668506115</v>
      </c>
      <c r="Q51" s="7" t="n">
        <v>28.37735727693431</v>
      </c>
    </row>
  </sheetData>
  <conditionalFormatting sqref="D2:D51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:E5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:F5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:G5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3" customWidth="1" min="2" max="2"/>
    <col width="12" customWidth="1" min="3" max="3"/>
    <col width="10" customWidth="1" min="4" max="4"/>
    <col width="15" customWidth="1" min="5" max="5"/>
    <col width="14" customWidth="1" min="6" max="6"/>
    <col width="11" customWidth="1" min="7" max="7"/>
    <col width="17" customWidth="1" min="8" max="8"/>
    <col width="18" customWidth="1" min="9" max="9"/>
  </cols>
  <sheetData>
    <row r="1" ht="42" customHeight="1">
      <c r="A1" s="1" t="inlineStr">
        <is>
          <t>District</t>
        </is>
      </c>
      <c r="B1" s="1" t="inlineStr">
        <is>
          <t>CoolDry Eve</t>
        </is>
      </c>
      <c r="C1" s="1" t="inlineStr">
        <is>
          <t>HotDry Eve</t>
        </is>
      </c>
      <c r="D1" s="1" t="inlineStr">
        <is>
          <t>Wet Eve</t>
        </is>
      </c>
      <c r="E1" s="1" t="inlineStr">
        <is>
          <t>CoolDry Night</t>
        </is>
      </c>
      <c r="F1" s="1" t="inlineStr">
        <is>
          <t>HotDry Night</t>
        </is>
      </c>
      <c r="G1" s="1" t="inlineStr">
        <is>
          <t>Wet Night</t>
        </is>
      </c>
      <c r="H1" s="1" t="inlineStr">
        <is>
          <t>Eve Mean (diag)</t>
        </is>
      </c>
      <c r="I1" s="1" t="inlineStr">
        <is>
          <t>Eve Range (diag)</t>
        </is>
      </c>
    </row>
    <row r="2">
      <c r="A2" s="5" t="inlineStr">
        <is>
          <t>Chatuchak District</t>
        </is>
      </c>
      <c r="B2" s="8" t="n">
        <v>3.8</v>
      </c>
      <c r="C2" s="7" t="n">
        <v>3.1</v>
      </c>
      <c r="D2" s="7" t="n">
        <v>2.5</v>
      </c>
      <c r="E2" s="7" t="n">
        <v>4.3</v>
      </c>
      <c r="F2" s="7" t="n">
        <v>2</v>
      </c>
      <c r="G2" s="7" t="n">
        <v>2.8</v>
      </c>
      <c r="H2" s="7" t="n">
        <v>3.13</v>
      </c>
      <c r="I2" s="7" t="n">
        <v>1.3</v>
      </c>
    </row>
    <row r="3">
      <c r="A3" s="5" t="inlineStr">
        <is>
          <t>Bang Sue District</t>
        </is>
      </c>
      <c r="B3" s="8" t="n">
        <v>3.9</v>
      </c>
      <c r="C3" s="7" t="n">
        <v>3.2</v>
      </c>
      <c r="D3" s="7" t="n">
        <v>2.7</v>
      </c>
      <c r="E3" s="7" t="n">
        <v>4.5</v>
      </c>
      <c r="F3" s="7" t="n">
        <v>2</v>
      </c>
      <c r="G3" s="7" t="n">
        <v>3</v>
      </c>
      <c r="H3" s="7" t="n">
        <v>3.27</v>
      </c>
      <c r="I3" s="7" t="n">
        <v>1.2</v>
      </c>
    </row>
    <row r="4">
      <c r="A4" s="5" t="inlineStr">
        <is>
          <t>Din Daeng District</t>
        </is>
      </c>
      <c r="B4" s="8" t="n">
        <v>4</v>
      </c>
      <c r="C4" s="7" t="n">
        <v>2.7</v>
      </c>
      <c r="D4" s="7" t="n">
        <v>2.8</v>
      </c>
      <c r="E4" s="7" t="n">
        <v>4.7</v>
      </c>
      <c r="F4" s="7" t="n">
        <v>1.9</v>
      </c>
      <c r="G4" s="7" t="n">
        <v>3.1</v>
      </c>
      <c r="H4" s="7" t="n">
        <v>3.17</v>
      </c>
      <c r="I4" s="7" t="n">
        <v>1.3</v>
      </c>
    </row>
    <row r="5">
      <c r="A5" s="5" t="inlineStr">
        <is>
          <t>Bang Khen District</t>
        </is>
      </c>
      <c r="B5" s="8" t="n">
        <v>2.9</v>
      </c>
      <c r="C5" s="7" t="n">
        <v>3.3</v>
      </c>
      <c r="D5" s="7" t="n">
        <v>2</v>
      </c>
      <c r="E5" s="7" t="n">
        <v>2.9</v>
      </c>
      <c r="F5" s="7" t="n">
        <v>1.6</v>
      </c>
      <c r="G5" s="7" t="n">
        <v>1.8</v>
      </c>
      <c r="H5" s="7" t="n">
        <v>2.73</v>
      </c>
      <c r="I5" s="7" t="n">
        <v>1.3</v>
      </c>
    </row>
    <row r="6">
      <c r="A6" s="5" t="inlineStr">
        <is>
          <t>Wang Thonglang District</t>
        </is>
      </c>
      <c r="B6" s="8" t="n">
        <v>3.7</v>
      </c>
      <c r="C6" s="7" t="n">
        <v>2.7</v>
      </c>
      <c r="D6" s="7" t="n">
        <v>2.6</v>
      </c>
      <c r="E6" s="7" t="n">
        <v>4.2</v>
      </c>
      <c r="F6" s="7" t="n">
        <v>1.7</v>
      </c>
      <c r="G6" s="7" t="n">
        <v>2.7</v>
      </c>
      <c r="H6" s="7" t="n">
        <v>3</v>
      </c>
      <c r="I6" s="7" t="n">
        <v>1.1</v>
      </c>
    </row>
    <row r="7">
      <c r="A7" s="5" t="inlineStr">
        <is>
          <t>Bueng Kum District</t>
        </is>
      </c>
      <c r="B7" s="8" t="n">
        <v>3.4</v>
      </c>
      <c r="C7" s="7" t="n">
        <v>3.1</v>
      </c>
      <c r="D7" s="7" t="n">
        <v>2.4</v>
      </c>
      <c r="E7" s="7" t="n">
        <v>3.5</v>
      </c>
      <c r="F7" s="7" t="n">
        <v>1.7</v>
      </c>
      <c r="G7" s="7" t="n">
        <v>2.3</v>
      </c>
      <c r="H7" s="7" t="n">
        <v>2.97</v>
      </c>
      <c r="I7" s="7" t="n">
        <v>1</v>
      </c>
    </row>
    <row r="8">
      <c r="A8" s="5" t="inlineStr">
        <is>
          <t>Lat Phrao District</t>
        </is>
      </c>
      <c r="B8" s="8" t="n">
        <v>3.6</v>
      </c>
      <c r="C8" s="7" t="n">
        <v>3.1</v>
      </c>
      <c r="D8" s="7" t="n">
        <v>2.5</v>
      </c>
      <c r="E8" s="7" t="n">
        <v>4</v>
      </c>
      <c r="F8" s="7" t="n">
        <v>1.8</v>
      </c>
      <c r="G8" s="7" t="n">
        <v>2.6</v>
      </c>
      <c r="H8" s="7" t="n">
        <v>3.07</v>
      </c>
      <c r="I8" s="7" t="n">
        <v>1.1</v>
      </c>
    </row>
    <row r="9">
      <c r="A9" s="5" t="inlineStr">
        <is>
          <t>Phaya Thai District</t>
        </is>
      </c>
      <c r="B9" s="8" t="n">
        <v>4</v>
      </c>
      <c r="C9" s="7" t="n">
        <v>2.8</v>
      </c>
      <c r="D9" s="7" t="n">
        <v>2.7</v>
      </c>
      <c r="E9" s="7" t="n">
        <v>4.7</v>
      </c>
      <c r="F9" s="7" t="n">
        <v>1.9</v>
      </c>
      <c r="G9" s="7" t="n">
        <v>3.2</v>
      </c>
      <c r="H9" s="7" t="n">
        <v>3.17</v>
      </c>
      <c r="I9" s="7" t="n">
        <v>1.3</v>
      </c>
    </row>
    <row r="10">
      <c r="A10" s="5" t="inlineStr">
        <is>
          <t>Bang Phlat District</t>
        </is>
      </c>
      <c r="B10" s="8" t="n">
        <v>3.8</v>
      </c>
      <c r="C10" s="7" t="n">
        <v>2.5</v>
      </c>
      <c r="D10" s="7" t="n">
        <v>2.5</v>
      </c>
      <c r="E10" s="7" t="n">
        <v>4.4</v>
      </c>
      <c r="F10" s="7" t="n">
        <v>1.7</v>
      </c>
      <c r="G10" s="7" t="n">
        <v>3</v>
      </c>
      <c r="H10" s="7" t="n">
        <v>2.93</v>
      </c>
      <c r="I10" s="7" t="n">
        <v>1.3</v>
      </c>
    </row>
    <row r="11">
      <c r="A11" s="5" t="inlineStr">
        <is>
          <t>Suan Luang District</t>
        </is>
      </c>
      <c r="B11" s="8" t="n">
        <v>3.4</v>
      </c>
      <c r="C11" s="7" t="n">
        <v>2.4</v>
      </c>
      <c r="D11" s="7" t="n">
        <v>2.4</v>
      </c>
      <c r="E11" s="7" t="n">
        <v>3.7</v>
      </c>
      <c r="F11" s="7" t="n">
        <v>1.6</v>
      </c>
      <c r="G11" s="7" t="n">
        <v>2.5</v>
      </c>
      <c r="H11" s="7" t="n">
        <v>2.73</v>
      </c>
      <c r="I11" s="7" t="n">
        <v>1</v>
      </c>
    </row>
    <row r="12">
      <c r="A12" s="5" t="inlineStr">
        <is>
          <t>Don Mueang District</t>
        </is>
      </c>
      <c r="B12" s="8" t="n">
        <v>2.9</v>
      </c>
      <c r="C12" s="7" t="n">
        <v>3.7</v>
      </c>
      <c r="D12" s="7" t="n">
        <v>1.8</v>
      </c>
      <c r="E12" s="7" t="n">
        <v>3.2</v>
      </c>
      <c r="F12" s="7" t="n">
        <v>1.8</v>
      </c>
      <c r="G12" s="7" t="n">
        <v>1.9</v>
      </c>
      <c r="H12" s="7" t="n">
        <v>2.8</v>
      </c>
      <c r="I12" s="7" t="n">
        <v>1.9</v>
      </c>
    </row>
    <row r="13">
      <c r="A13" s="5" t="inlineStr">
        <is>
          <t>Khlong San District</t>
        </is>
      </c>
      <c r="B13" s="8" t="n">
        <v>3.7</v>
      </c>
      <c r="C13" s="7" t="n">
        <v>1.9</v>
      </c>
      <c r="D13" s="7" t="n">
        <v>2.3</v>
      </c>
      <c r="E13" s="7" t="n">
        <v>4.6</v>
      </c>
      <c r="F13" s="7" t="n">
        <v>1.6</v>
      </c>
      <c r="G13" s="7" t="n">
        <v>3.1</v>
      </c>
      <c r="H13" s="7" t="n">
        <v>2.63</v>
      </c>
      <c r="I13" s="7" t="n">
        <v>1.8</v>
      </c>
    </row>
    <row r="14">
      <c r="A14" s="5" t="inlineStr">
        <is>
          <t>Bangkok Noi District</t>
        </is>
      </c>
      <c r="B14" s="8" t="n">
        <v>3.7</v>
      </c>
      <c r="C14" s="7" t="n">
        <v>2.1</v>
      </c>
      <c r="D14" s="7" t="n">
        <v>2.3</v>
      </c>
      <c r="E14" s="7" t="n">
        <v>4.2</v>
      </c>
      <c r="F14" s="7" t="n">
        <v>1.5</v>
      </c>
      <c r="G14" s="7" t="n">
        <v>2.9</v>
      </c>
      <c r="H14" s="7" t="n">
        <v>2.7</v>
      </c>
      <c r="I14" s="7" t="n">
        <v>1.6</v>
      </c>
    </row>
    <row r="15">
      <c r="A15" s="5" t="inlineStr">
        <is>
          <t>Bang Kapi District</t>
        </is>
      </c>
      <c r="B15" s="8" t="n">
        <v>3.4</v>
      </c>
      <c r="C15" s="7" t="n">
        <v>2.7</v>
      </c>
      <c r="D15" s="7" t="n">
        <v>2.4</v>
      </c>
      <c r="E15" s="7" t="n">
        <v>3.6</v>
      </c>
      <c r="F15" s="7" t="n">
        <v>1.6</v>
      </c>
      <c r="G15" s="7" t="n">
        <v>2.4</v>
      </c>
      <c r="H15" s="7" t="n">
        <v>2.83</v>
      </c>
      <c r="I15" s="7" t="n">
        <v>1</v>
      </c>
    </row>
    <row r="16">
      <c r="A16" s="5" t="inlineStr">
        <is>
          <t>Thon Buri District</t>
        </is>
      </c>
      <c r="B16" s="8" t="n">
        <v>3.7</v>
      </c>
      <c r="C16" s="7" t="n">
        <v>1.7</v>
      </c>
      <c r="D16" s="7" t="n">
        <v>2.2</v>
      </c>
      <c r="E16" s="7" t="n">
        <v>4.5</v>
      </c>
      <c r="F16" s="7" t="n">
        <v>1.4</v>
      </c>
      <c r="G16" s="7" t="n">
        <v>3</v>
      </c>
      <c r="H16" s="7" t="n">
        <v>2.53</v>
      </c>
      <c r="I16" s="7" t="n">
        <v>2</v>
      </c>
    </row>
    <row r="17">
      <c r="A17" s="5" t="inlineStr">
        <is>
          <t>Bangkok Yai District</t>
        </is>
      </c>
      <c r="B17" s="8" t="n">
        <v>3.9</v>
      </c>
      <c r="C17" s="7" t="n">
        <v>1.9</v>
      </c>
      <c r="D17" s="7" t="n">
        <v>2.3</v>
      </c>
      <c r="E17" s="7" t="n">
        <v>4.5</v>
      </c>
      <c r="F17" s="7" t="n">
        <v>1.6</v>
      </c>
      <c r="G17" s="7" t="n">
        <v>3.1</v>
      </c>
      <c r="H17" s="7" t="n">
        <v>2.7</v>
      </c>
      <c r="I17" s="7" t="n">
        <v>2</v>
      </c>
    </row>
    <row r="18">
      <c r="A18" s="5" t="inlineStr">
        <is>
          <t>Pathum Wan District</t>
        </is>
      </c>
      <c r="B18" s="8" t="n">
        <v>3.9</v>
      </c>
      <c r="C18" s="7" t="n">
        <v>2.4</v>
      </c>
      <c r="D18" s="7" t="n">
        <v>2.6</v>
      </c>
      <c r="E18" s="7" t="n">
        <v>4.6</v>
      </c>
      <c r="F18" s="7" t="n">
        <v>1.7</v>
      </c>
      <c r="G18" s="7" t="n">
        <v>3.1</v>
      </c>
      <c r="H18" s="7" t="n">
        <v>2.97</v>
      </c>
      <c r="I18" s="7" t="n">
        <v>1.5</v>
      </c>
    </row>
    <row r="19">
      <c r="A19" s="5" t="inlineStr">
        <is>
          <t>Vadhana District</t>
        </is>
      </c>
      <c r="B19" s="8" t="n">
        <v>3.7</v>
      </c>
      <c r="C19" s="7" t="n">
        <v>2</v>
      </c>
      <c r="D19" s="7" t="n">
        <v>2.4</v>
      </c>
      <c r="E19" s="7" t="n">
        <v>4.3</v>
      </c>
      <c r="F19" s="7" t="n">
        <v>1.5</v>
      </c>
      <c r="G19" s="7" t="n">
        <v>2.8</v>
      </c>
      <c r="H19" s="7" t="n">
        <v>2.7</v>
      </c>
      <c r="I19" s="7" t="n">
        <v>1.7</v>
      </c>
    </row>
    <row r="20">
      <c r="A20" s="5" t="inlineStr">
        <is>
          <t>Khlong Toei District</t>
        </is>
      </c>
      <c r="B20" s="8" t="n">
        <v>3.3</v>
      </c>
      <c r="C20" s="7" t="n">
        <v>1.5</v>
      </c>
      <c r="D20" s="7" t="n">
        <v>2</v>
      </c>
      <c r="E20" s="7" t="n">
        <v>4</v>
      </c>
      <c r="F20" s="7" t="n">
        <v>1.3</v>
      </c>
      <c r="G20" s="7" t="n">
        <v>2.6</v>
      </c>
      <c r="H20" s="7" t="n">
        <v>2.27</v>
      </c>
      <c r="I20" s="7" t="n">
        <v>1.8</v>
      </c>
    </row>
    <row r="21">
      <c r="A21" s="5" t="inlineStr">
        <is>
          <t>Ratchathewi District</t>
        </is>
      </c>
      <c r="B21" s="8" t="n">
        <v>4.1</v>
      </c>
      <c r="C21" s="7" t="n">
        <v>2.6</v>
      </c>
      <c r="D21" s="7" t="n">
        <v>2.7</v>
      </c>
      <c r="E21" s="7" t="n">
        <v>4.7</v>
      </c>
      <c r="F21" s="7" t="n">
        <v>1.9</v>
      </c>
      <c r="G21" s="7" t="n">
        <v>3.2</v>
      </c>
      <c r="H21" s="7" t="n">
        <v>3.13</v>
      </c>
      <c r="I21" s="7" t="n">
        <v>1.5</v>
      </c>
    </row>
    <row r="22">
      <c r="A22" s="5" t="inlineStr">
        <is>
          <t>Sathon District</t>
        </is>
      </c>
      <c r="B22" s="8" t="n">
        <v>3.8</v>
      </c>
      <c r="C22" s="7" t="n">
        <v>2</v>
      </c>
      <c r="D22" s="7" t="n">
        <v>2.4</v>
      </c>
      <c r="E22" s="7" t="n">
        <v>4.5</v>
      </c>
      <c r="F22" s="7" t="n">
        <v>1.6</v>
      </c>
      <c r="G22" s="7" t="n">
        <v>3.1</v>
      </c>
      <c r="H22" s="7" t="n">
        <v>2.73</v>
      </c>
      <c r="I22" s="7" t="n">
        <v>1.8</v>
      </c>
    </row>
    <row r="23">
      <c r="A23" s="5" t="inlineStr">
        <is>
          <t>Lak Si District</t>
        </is>
      </c>
      <c r="B23" s="8" t="n">
        <v>3.5</v>
      </c>
      <c r="C23" s="7" t="n">
        <v>3.6</v>
      </c>
      <c r="D23" s="7" t="n">
        <v>2.2</v>
      </c>
      <c r="E23" s="7" t="n">
        <v>4</v>
      </c>
      <c r="F23" s="7" t="n">
        <v>2</v>
      </c>
      <c r="G23" s="7" t="n">
        <v>2.5</v>
      </c>
      <c r="H23" s="7" t="n">
        <v>3.1</v>
      </c>
      <c r="I23" s="7" t="n">
        <v>1.4</v>
      </c>
    </row>
    <row r="24">
      <c r="A24" s="5" t="inlineStr">
        <is>
          <t>Sai Mai District</t>
        </is>
      </c>
      <c r="B24" s="8" t="n">
        <v>2.6</v>
      </c>
      <c r="C24" s="7" t="n">
        <v>3.5</v>
      </c>
      <c r="D24" s="7" t="n">
        <v>1.6</v>
      </c>
      <c r="E24" s="7" t="n">
        <v>2.3</v>
      </c>
      <c r="F24" s="7" t="n">
        <v>1.5</v>
      </c>
      <c r="G24" s="7" t="n">
        <v>1.3</v>
      </c>
      <c r="H24" s="7" t="n">
        <v>2.57</v>
      </c>
      <c r="I24" s="7" t="n">
        <v>1.9</v>
      </c>
    </row>
    <row r="25">
      <c r="A25" s="5" t="inlineStr">
        <is>
          <t>Bang Kho Laem District</t>
        </is>
      </c>
      <c r="B25" s="8" t="n">
        <v>3.4</v>
      </c>
      <c r="C25" s="7" t="n">
        <v>1.6</v>
      </c>
      <c r="D25" s="7" t="n">
        <v>2.1</v>
      </c>
      <c r="E25" s="7" t="n">
        <v>4.3</v>
      </c>
      <c r="F25" s="7" t="n">
        <v>1.4</v>
      </c>
      <c r="G25" s="7" t="n">
        <v>2.9</v>
      </c>
      <c r="H25" s="7" t="n">
        <v>2.37</v>
      </c>
      <c r="I25" s="7" t="n">
        <v>1.8</v>
      </c>
    </row>
    <row r="26">
      <c r="A26" s="5" t="inlineStr">
        <is>
          <t>Bang Rak District</t>
        </is>
      </c>
      <c r="B26" s="8" t="n">
        <v>3.9</v>
      </c>
      <c r="C26" s="7" t="n">
        <v>2.3</v>
      </c>
      <c r="D26" s="7" t="n">
        <v>2.7</v>
      </c>
      <c r="E26" s="7" t="n">
        <v>4.7</v>
      </c>
      <c r="F26" s="7" t="n">
        <v>1.7</v>
      </c>
      <c r="G26" s="7" t="n">
        <v>3.2</v>
      </c>
      <c r="H26" s="7" t="n">
        <v>2.97</v>
      </c>
      <c r="I26" s="7" t="n">
        <v>1.6</v>
      </c>
    </row>
    <row r="27">
      <c r="A27" s="5" t="inlineStr">
        <is>
          <t>Khan Na Yao District</t>
        </is>
      </c>
      <c r="B27" s="8" t="n">
        <v>2.8</v>
      </c>
      <c r="C27" s="7" t="n">
        <v>2.8</v>
      </c>
      <c r="D27" s="7" t="n">
        <v>1.9</v>
      </c>
      <c r="E27" s="7" t="n">
        <v>2.8</v>
      </c>
      <c r="F27" s="7" t="n">
        <v>1.4</v>
      </c>
      <c r="G27" s="7" t="n">
        <v>1.8</v>
      </c>
      <c r="H27" s="7" t="n">
        <v>2.5</v>
      </c>
      <c r="I27" s="7" t="n">
        <v>0.9</v>
      </c>
    </row>
    <row r="28">
      <c r="A28" s="5" t="inlineStr">
        <is>
          <t>Rat Burana District</t>
        </is>
      </c>
      <c r="B28" s="8" t="n">
        <v>2.9</v>
      </c>
      <c r="C28" s="7" t="n">
        <v>1.2</v>
      </c>
      <c r="D28" s="7" t="n">
        <v>1.8</v>
      </c>
      <c r="E28" s="7" t="n">
        <v>4</v>
      </c>
      <c r="F28" s="7" t="n">
        <v>1.2</v>
      </c>
      <c r="G28" s="7" t="n">
        <v>2.7</v>
      </c>
      <c r="H28" s="7" t="n">
        <v>1.97</v>
      </c>
      <c r="I28" s="7" t="n">
        <v>1.7</v>
      </c>
    </row>
    <row r="29">
      <c r="A29" s="5" t="inlineStr">
        <is>
          <t>Phra Nakhon District</t>
        </is>
      </c>
      <c r="B29" s="8" t="n">
        <v>3.9</v>
      </c>
      <c r="C29" s="7" t="n">
        <v>2.3</v>
      </c>
      <c r="D29" s="7" t="n">
        <v>2.5</v>
      </c>
      <c r="E29" s="7" t="n">
        <v>4.7</v>
      </c>
      <c r="F29" s="7" t="n">
        <v>1.7</v>
      </c>
      <c r="G29" s="7" t="n">
        <v>3.2</v>
      </c>
      <c r="H29" s="7" t="n">
        <v>2.9</v>
      </c>
      <c r="I29" s="7" t="n">
        <v>1.6</v>
      </c>
    </row>
    <row r="30">
      <c r="A30" s="5" t="inlineStr">
        <is>
          <t>Phra Khanong District</t>
        </is>
      </c>
      <c r="B30" s="8" t="n">
        <v>3.3</v>
      </c>
      <c r="C30" s="7" t="n">
        <v>2</v>
      </c>
      <c r="D30" s="7" t="n">
        <v>2.2</v>
      </c>
      <c r="E30" s="7" t="n">
        <v>3.8</v>
      </c>
      <c r="F30" s="7" t="n">
        <v>1.5</v>
      </c>
      <c r="G30" s="7" t="n">
        <v>2.5</v>
      </c>
      <c r="H30" s="7" t="n">
        <v>2.5</v>
      </c>
      <c r="I30" s="7" t="n">
        <v>1.3</v>
      </c>
    </row>
    <row r="31">
      <c r="A31" s="5" t="inlineStr">
        <is>
          <t>Pom Prap Sattru Phai District</t>
        </is>
      </c>
      <c r="B31" s="8" t="n">
        <v>4</v>
      </c>
      <c r="C31" s="7" t="n">
        <v>2.5</v>
      </c>
      <c r="D31" s="7" t="n">
        <v>2.7</v>
      </c>
      <c r="E31" s="7" t="n">
        <v>4.8</v>
      </c>
      <c r="F31" s="7" t="n">
        <v>1.8</v>
      </c>
      <c r="G31" s="7" t="n">
        <v>3.3</v>
      </c>
      <c r="H31" s="7" t="n">
        <v>3.07</v>
      </c>
      <c r="I31" s="7" t="n">
        <v>1.5</v>
      </c>
    </row>
    <row r="32">
      <c r="A32" s="5" t="inlineStr">
        <is>
          <t>Bang Na District</t>
        </is>
      </c>
      <c r="B32" s="8" t="n">
        <v>3.2</v>
      </c>
      <c r="C32" s="7" t="n">
        <v>1.9</v>
      </c>
      <c r="D32" s="7" t="n">
        <v>2.2</v>
      </c>
      <c r="E32" s="7" t="n">
        <v>3.8</v>
      </c>
      <c r="F32" s="7" t="n">
        <v>1.5</v>
      </c>
      <c r="G32" s="7" t="n">
        <v>2.6</v>
      </c>
      <c r="H32" s="7" t="n">
        <v>2.43</v>
      </c>
      <c r="I32" s="7" t="n">
        <v>1.3</v>
      </c>
    </row>
    <row r="33">
      <c r="A33" s="5" t="inlineStr">
        <is>
          <t>Samphanthawong District</t>
        </is>
      </c>
      <c r="B33" s="8" t="n">
        <v>4</v>
      </c>
      <c r="C33" s="7" t="n">
        <v>2.3</v>
      </c>
      <c r="D33" s="7" t="n">
        <v>2.6</v>
      </c>
      <c r="E33" s="7" t="n">
        <v>4.8</v>
      </c>
      <c r="F33" s="7" t="n">
        <v>1.7</v>
      </c>
      <c r="G33" s="7" t="n">
        <v>3.2</v>
      </c>
      <c r="H33" s="7" t="n">
        <v>2.97</v>
      </c>
      <c r="I33" s="7" t="n">
        <v>1.7</v>
      </c>
    </row>
    <row r="34">
      <c r="A34" s="5" t="inlineStr">
        <is>
          <t>Dusit District</t>
        </is>
      </c>
      <c r="B34" s="8" t="n">
        <v>3.8</v>
      </c>
      <c r="C34" s="7" t="n">
        <v>2.6</v>
      </c>
      <c r="D34" s="7" t="n">
        <v>2.5</v>
      </c>
      <c r="E34" s="7" t="n">
        <v>4.5</v>
      </c>
      <c r="F34" s="7" t="n">
        <v>1.7</v>
      </c>
      <c r="G34" s="7" t="n">
        <v>3</v>
      </c>
      <c r="H34" s="7" t="n">
        <v>2.97</v>
      </c>
      <c r="I34" s="7" t="n">
        <v>1.3</v>
      </c>
    </row>
    <row r="35">
      <c r="A35" s="5" t="inlineStr">
        <is>
          <t>Huai Khwang District</t>
        </is>
      </c>
      <c r="B35" s="8" t="n">
        <v>3.6</v>
      </c>
      <c r="C35" s="7" t="n">
        <v>2.3</v>
      </c>
      <c r="D35" s="7" t="n">
        <v>2.5</v>
      </c>
      <c r="E35" s="7" t="n">
        <v>4.2</v>
      </c>
      <c r="F35" s="7" t="n">
        <v>1.6</v>
      </c>
      <c r="G35" s="7" t="n">
        <v>2.7</v>
      </c>
      <c r="H35" s="7" t="n">
        <v>2.8</v>
      </c>
      <c r="I35" s="7" t="n">
        <v>1.3</v>
      </c>
    </row>
    <row r="36">
      <c r="A36" s="5" t="inlineStr">
        <is>
          <t>Min Buri District</t>
        </is>
      </c>
      <c r="B36" s="8" t="n">
        <v>1.2</v>
      </c>
      <c r="C36" s="7" t="n">
        <v>2</v>
      </c>
      <c r="D36" s="7" t="n">
        <v>0.9</v>
      </c>
      <c r="E36" s="7" t="n">
        <v>0.9</v>
      </c>
      <c r="F36" s="7" t="n">
        <v>0.6</v>
      </c>
      <c r="G36" s="7" t="n">
        <v>0.7</v>
      </c>
      <c r="H36" s="7" t="n">
        <v>1.37</v>
      </c>
      <c r="I36" s="7" t="n">
        <v>1.1</v>
      </c>
    </row>
    <row r="37">
      <c r="A37" s="5" t="inlineStr">
        <is>
          <t>Prawet District</t>
        </is>
      </c>
      <c r="B37" s="8" t="n">
        <v>2.6</v>
      </c>
      <c r="C37" s="7" t="n">
        <v>1.8</v>
      </c>
      <c r="D37" s="7" t="n">
        <v>1.8</v>
      </c>
      <c r="E37" s="7" t="n">
        <v>2.8</v>
      </c>
      <c r="F37" s="7" t="n">
        <v>1.2</v>
      </c>
      <c r="G37" s="7" t="n">
        <v>2</v>
      </c>
      <c r="H37" s="7" t="n">
        <v>2.07</v>
      </c>
      <c r="I37" s="7" t="n">
        <v>0.8</v>
      </c>
    </row>
    <row r="38">
      <c r="A38" s="5" t="inlineStr">
        <is>
          <t>Khlong Sam Wa District</t>
        </is>
      </c>
      <c r="B38" s="8" t="n">
        <v>0.9</v>
      </c>
      <c r="C38" s="7" t="n">
        <v>2.3</v>
      </c>
      <c r="D38" s="7" t="n">
        <v>0.5</v>
      </c>
      <c r="E38" s="7" t="n">
        <v>0.6</v>
      </c>
      <c r="F38" s="7" t="n">
        <v>0.5</v>
      </c>
      <c r="G38" s="7" t="n">
        <v>0.4</v>
      </c>
      <c r="H38" s="7" t="n">
        <v>1.23</v>
      </c>
      <c r="I38" s="7" t="n">
        <v>1.8</v>
      </c>
    </row>
    <row r="39">
      <c r="A39" s="5" t="inlineStr">
        <is>
          <t>Phasi Charoen District</t>
        </is>
      </c>
      <c r="B39" s="8" t="n">
        <v>3.6</v>
      </c>
      <c r="C39" s="7" t="n">
        <v>1.5</v>
      </c>
      <c r="D39" s="7" t="n">
        <v>2.1</v>
      </c>
      <c r="E39" s="7" t="n">
        <v>3.9</v>
      </c>
      <c r="F39" s="7" t="n">
        <v>1.5</v>
      </c>
      <c r="G39" s="7" t="n">
        <v>2.9</v>
      </c>
      <c r="H39" s="7" t="n">
        <v>2.4</v>
      </c>
      <c r="I39" s="7" t="n">
        <v>2.1</v>
      </c>
    </row>
    <row r="40">
      <c r="A40" s="5" t="inlineStr">
        <is>
          <t>Bang Khae District</t>
        </is>
      </c>
      <c r="B40" s="8" t="n">
        <v>3.1</v>
      </c>
      <c r="C40" s="7" t="n">
        <v>1.4</v>
      </c>
      <c r="D40" s="7" t="n">
        <v>1.8</v>
      </c>
      <c r="E40" s="7" t="n">
        <v>3</v>
      </c>
      <c r="F40" s="7" t="n">
        <v>1.3</v>
      </c>
      <c r="G40" s="7" t="n">
        <v>2.6</v>
      </c>
      <c r="H40" s="7" t="n">
        <v>2.1</v>
      </c>
      <c r="I40" s="7" t="n">
        <v>1.7</v>
      </c>
    </row>
    <row r="41">
      <c r="A41" s="5" t="inlineStr">
        <is>
          <t>Saphan Sung District</t>
        </is>
      </c>
      <c r="B41" s="8" t="n">
        <v>2.6</v>
      </c>
      <c r="C41" s="7" t="n">
        <v>2.2</v>
      </c>
      <c r="D41" s="7" t="n">
        <v>1.9</v>
      </c>
      <c r="E41" s="7" t="n">
        <v>2.6</v>
      </c>
      <c r="F41" s="7" t="n">
        <v>1.2</v>
      </c>
      <c r="G41" s="7" t="n">
        <v>1.8</v>
      </c>
      <c r="H41" s="7" t="n">
        <v>2.23</v>
      </c>
      <c r="I41" s="7" t="n">
        <v>0.7</v>
      </c>
    </row>
    <row r="42">
      <c r="A42" s="5" t="inlineStr">
        <is>
          <t>Taling Chan District</t>
        </is>
      </c>
      <c r="B42" s="8" t="n">
        <v>3.4</v>
      </c>
      <c r="C42" s="7" t="n">
        <v>1.9</v>
      </c>
      <c r="D42" s="7" t="n">
        <v>2</v>
      </c>
      <c r="E42" s="7" t="n">
        <v>3.3</v>
      </c>
      <c r="F42" s="7" t="n">
        <v>1.4</v>
      </c>
      <c r="G42" s="7" t="n">
        <v>2.7</v>
      </c>
      <c r="H42" s="7" t="n">
        <v>2.43</v>
      </c>
      <c r="I42" s="7" t="n">
        <v>1.5</v>
      </c>
    </row>
    <row r="43">
      <c r="A43" s="5" t="inlineStr">
        <is>
          <t>Yan Nawa District</t>
        </is>
      </c>
      <c r="B43" s="8" t="n">
        <v>3.2</v>
      </c>
      <c r="C43" s="7" t="n">
        <v>1.5</v>
      </c>
      <c r="D43" s="7" t="n">
        <v>2</v>
      </c>
      <c r="E43" s="7" t="n">
        <v>4</v>
      </c>
      <c r="F43" s="7" t="n">
        <v>1.4</v>
      </c>
      <c r="G43" s="7" t="n">
        <v>2.7</v>
      </c>
      <c r="H43" s="7" t="n">
        <v>2.23</v>
      </c>
      <c r="I43" s="7" t="n">
        <v>1.7</v>
      </c>
    </row>
    <row r="44">
      <c r="A44" s="5" t="inlineStr">
        <is>
          <t>Nong Chok District</t>
        </is>
      </c>
      <c r="B44" s="8" t="n">
        <v>0.2</v>
      </c>
      <c r="C44" s="7" t="n">
        <v>1.5</v>
      </c>
      <c r="D44" s="7" t="n">
        <v>0</v>
      </c>
      <c r="E44" s="7" t="n">
        <v>-0.2</v>
      </c>
      <c r="F44" s="7" t="n">
        <v>-0.2</v>
      </c>
      <c r="G44" s="7" t="n">
        <v>-0.1</v>
      </c>
      <c r="H44" s="7" t="n">
        <v>0.57</v>
      </c>
      <c r="I44" s="7" t="n">
        <v>1.5</v>
      </c>
    </row>
    <row r="45">
      <c r="A45" s="5" t="inlineStr">
        <is>
          <t>Lat Krabang District</t>
        </is>
      </c>
      <c r="B45" s="8" t="n">
        <v>0.8</v>
      </c>
      <c r="C45" s="7" t="n">
        <v>1.4</v>
      </c>
      <c r="D45" s="7" t="n">
        <v>0.7</v>
      </c>
      <c r="E45" s="7" t="n">
        <v>0.7</v>
      </c>
      <c r="F45" s="7" t="n">
        <v>0.4</v>
      </c>
      <c r="G45" s="7" t="n">
        <v>0.7</v>
      </c>
      <c r="H45" s="7" t="n">
        <v>0.97</v>
      </c>
      <c r="I45" s="7" t="n">
        <v>0.7</v>
      </c>
    </row>
    <row r="46">
      <c r="A46" s="5" t="inlineStr">
        <is>
          <t>Nong Khaem District</t>
        </is>
      </c>
      <c r="B46" s="8" t="n">
        <v>2.7</v>
      </c>
      <c r="C46" s="7" t="n">
        <v>1.1</v>
      </c>
      <c r="D46" s="7" t="n">
        <v>1.6</v>
      </c>
      <c r="E46" s="7" t="n">
        <v>2.6</v>
      </c>
      <c r="F46" s="7" t="n">
        <v>1</v>
      </c>
      <c r="G46" s="7" t="n">
        <v>2.4</v>
      </c>
      <c r="H46" s="7" t="n">
        <v>1.8</v>
      </c>
      <c r="I46" s="7" t="n">
        <v>1.6</v>
      </c>
    </row>
    <row r="47">
      <c r="A47" s="5" t="inlineStr">
        <is>
          <t>Thawi Watthana District</t>
        </is>
      </c>
      <c r="B47" s="8" t="n">
        <v>2</v>
      </c>
      <c r="C47" s="7" t="n">
        <v>1.6</v>
      </c>
      <c r="D47" s="7" t="n">
        <v>1.3</v>
      </c>
      <c r="E47" s="7" t="n">
        <v>1.6</v>
      </c>
      <c r="F47" s="7" t="n">
        <v>0.9</v>
      </c>
      <c r="G47" s="7" t="n">
        <v>2</v>
      </c>
      <c r="H47" s="7" t="n">
        <v>1.63</v>
      </c>
      <c r="I47" s="7" t="n">
        <v>0.7</v>
      </c>
    </row>
    <row r="48">
      <c r="A48" s="5" t="inlineStr">
        <is>
          <t>Chom Thong District</t>
        </is>
      </c>
      <c r="B48" s="8" t="n">
        <v>3.2</v>
      </c>
      <c r="C48" s="7" t="n">
        <v>1.1</v>
      </c>
      <c r="D48" s="7" t="n">
        <v>1.9</v>
      </c>
      <c r="E48" s="7" t="n">
        <v>4.2</v>
      </c>
      <c r="F48" s="7" t="n">
        <v>1.3</v>
      </c>
      <c r="G48" s="7" t="n">
        <v>2.8</v>
      </c>
      <c r="H48" s="7" t="n">
        <v>2.07</v>
      </c>
      <c r="I48" s="7" t="n">
        <v>2.1</v>
      </c>
    </row>
    <row r="49">
      <c r="A49" s="5" t="inlineStr">
        <is>
          <t>Bang Bon District</t>
        </is>
      </c>
      <c r="B49" s="8" t="n">
        <v>2.6</v>
      </c>
      <c r="C49" s="7" t="n">
        <v>0.9</v>
      </c>
      <c r="D49" s="7" t="n">
        <v>1.6</v>
      </c>
      <c r="E49" s="7" t="n">
        <v>3.1</v>
      </c>
      <c r="F49" s="7" t="n">
        <v>1</v>
      </c>
      <c r="G49" s="7" t="n">
        <v>2.5</v>
      </c>
      <c r="H49" s="7" t="n">
        <v>1.7</v>
      </c>
      <c r="I49" s="7" t="n">
        <v>1.7</v>
      </c>
    </row>
    <row r="50">
      <c r="A50" s="5" t="inlineStr">
        <is>
          <t>Thung Khru District</t>
        </is>
      </c>
      <c r="B50" s="8" t="n">
        <v>1.5</v>
      </c>
      <c r="C50" s="7" t="n">
        <v>0.7</v>
      </c>
      <c r="D50" s="7" t="n">
        <v>1.2</v>
      </c>
      <c r="E50" s="7" t="n">
        <v>3</v>
      </c>
      <c r="F50" s="7" t="n">
        <v>0.8</v>
      </c>
      <c r="G50" s="7" t="n">
        <v>2.1</v>
      </c>
      <c r="H50" s="7" t="n">
        <v>1.13</v>
      </c>
      <c r="I50" s="7" t="n">
        <v>0.8</v>
      </c>
    </row>
    <row r="51">
      <c r="A51" s="5" t="inlineStr">
        <is>
          <t>Bang Khun Thian District</t>
        </is>
      </c>
      <c r="B51" s="8" t="n">
        <v>1.6</v>
      </c>
      <c r="C51" s="7" t="n">
        <v>0.6</v>
      </c>
      <c r="D51" s="7" t="n">
        <v>1.4</v>
      </c>
      <c r="E51" s="7" t="n">
        <v>2.8</v>
      </c>
      <c r="F51" s="7" t="n">
        <v>0.8</v>
      </c>
      <c r="G51" s="7" t="n">
        <v>2.3</v>
      </c>
      <c r="H51" s="7" t="n">
        <v>1.2</v>
      </c>
      <c r="I51" s="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4" customWidth="1" min="2" max="2"/>
    <col width="15" customWidth="1" min="3" max="3"/>
    <col width="25" customWidth="1" min="4" max="4"/>
    <col width="19" customWidth="1" min="5" max="5"/>
    <col width="22" customWidth="1" min="6" max="6"/>
    <col width="10" customWidth="1" min="7" max="7"/>
  </cols>
  <sheetData>
    <row r="1" ht="42" customHeight="1">
      <c r="A1" s="1" t="inlineStr">
        <is>
          <t>Rank</t>
        </is>
      </c>
      <c r="B1" s="1" t="inlineStr">
        <is>
          <t>District</t>
        </is>
      </c>
      <c r="C1" s="1" t="inlineStr">
        <is>
          <t>UHI pts (35%)</t>
        </is>
      </c>
      <c r="D1" s="1" t="inlineStr">
        <is>
          <t>Vulnerability pts (30%)</t>
        </is>
      </c>
      <c r="E1" s="1" t="inlineStr">
        <is>
          <t>Transit pts (25%)</t>
        </is>
      </c>
      <c r="F1" s="1" t="inlineStr">
        <is>
          <t>Population pts (10%)</t>
        </is>
      </c>
      <c r="G1" s="1" t="inlineStr">
        <is>
          <t>TOTAL</t>
        </is>
      </c>
    </row>
    <row r="2">
      <c r="A2" s="2" t="n">
        <v>1</v>
      </c>
      <c r="B2" s="2" t="inlineStr">
        <is>
          <t>Chatuchak District</t>
        </is>
      </c>
      <c r="C2" s="4" t="n">
        <v>2.86</v>
      </c>
      <c r="D2" s="4" t="n">
        <v>3</v>
      </c>
      <c r="E2" s="4" t="n">
        <v>2.5</v>
      </c>
      <c r="F2" s="4" t="n">
        <v>0.71</v>
      </c>
      <c r="G2" s="4" t="n">
        <v>9.07</v>
      </c>
    </row>
    <row r="3">
      <c r="A3" s="2" t="n">
        <v>2</v>
      </c>
      <c r="B3" s="2" t="inlineStr">
        <is>
          <t>Bang Sue District</t>
        </is>
      </c>
      <c r="C3" s="4" t="n">
        <v>2.99</v>
      </c>
      <c r="D3" s="4" t="n">
        <v>3</v>
      </c>
      <c r="E3" s="4" t="n">
        <v>0.72</v>
      </c>
      <c r="F3" s="4" t="n">
        <v>0.52</v>
      </c>
      <c r="G3" s="4" t="n">
        <v>7.22</v>
      </c>
    </row>
    <row r="4">
      <c r="A4" s="2" t="n">
        <v>3</v>
      </c>
      <c r="B4" s="2" t="inlineStr">
        <is>
          <t>Din Daeng District</t>
        </is>
      </c>
      <c r="C4" s="4" t="n">
        <v>2.53</v>
      </c>
      <c r="D4" s="4" t="n">
        <v>3</v>
      </c>
      <c r="E4" s="4" t="n">
        <v>0.89</v>
      </c>
      <c r="F4" s="4" t="n">
        <v>0.48</v>
      </c>
      <c r="G4" s="4" t="n">
        <v>6.9</v>
      </c>
    </row>
    <row r="5">
      <c r="A5" s="5" t="n">
        <v>4</v>
      </c>
      <c r="B5" s="5" t="inlineStr">
        <is>
          <t>Bang Khen District</t>
        </is>
      </c>
      <c r="C5" s="7" t="n">
        <v>3.08</v>
      </c>
      <c r="D5" s="7" t="n">
        <v>0.6</v>
      </c>
      <c r="E5" s="7" t="n">
        <v>2.14</v>
      </c>
      <c r="F5" s="7" t="n">
        <v>0.87</v>
      </c>
      <c r="G5" s="7" t="n">
        <v>6.7</v>
      </c>
    </row>
    <row r="6">
      <c r="A6" s="5" t="n">
        <v>5</v>
      </c>
      <c r="B6" s="5" t="inlineStr">
        <is>
          <t>Wang Thonglang District</t>
        </is>
      </c>
      <c r="C6" s="7" t="n">
        <v>2.51</v>
      </c>
      <c r="D6" s="7" t="n">
        <v>3</v>
      </c>
      <c r="E6" s="7" t="n">
        <v>0.72</v>
      </c>
      <c r="F6" s="7" t="n">
        <v>0.45</v>
      </c>
      <c r="G6" s="7" t="n">
        <v>6.67</v>
      </c>
    </row>
    <row r="7">
      <c r="A7" s="5" t="n">
        <v>6</v>
      </c>
      <c r="B7" s="5" t="inlineStr">
        <is>
          <t>Bueng Kum District</t>
        </is>
      </c>
      <c r="C7" s="7" t="n">
        <v>2.96</v>
      </c>
      <c r="D7" s="7" t="n">
        <v>3</v>
      </c>
      <c r="E7" s="7" t="n">
        <v>0</v>
      </c>
      <c r="F7" s="7" t="n">
        <v>0.62</v>
      </c>
      <c r="G7" s="7" t="n">
        <v>6.58</v>
      </c>
    </row>
    <row r="8">
      <c r="A8" s="5" t="n">
        <v>7</v>
      </c>
      <c r="B8" s="5" t="inlineStr">
        <is>
          <t>Lat Phrao District</t>
        </is>
      </c>
      <c r="C8" s="7" t="n">
        <v>2.9</v>
      </c>
      <c r="D8" s="7" t="n">
        <v>3</v>
      </c>
      <c r="E8" s="7" t="n">
        <v>0</v>
      </c>
      <c r="F8" s="7" t="n">
        <v>0.5</v>
      </c>
      <c r="G8" s="7" t="n">
        <v>6.4</v>
      </c>
    </row>
    <row r="9">
      <c r="A9" s="5" t="n">
        <v>8</v>
      </c>
      <c r="B9" s="5" t="inlineStr">
        <is>
          <t>Phaya Thai District</t>
        </is>
      </c>
      <c r="C9" s="7" t="n">
        <v>2.58</v>
      </c>
      <c r="D9" s="7" t="n">
        <v>3</v>
      </c>
      <c r="E9" s="7" t="n">
        <v>0.54</v>
      </c>
      <c r="F9" s="7" t="n">
        <v>0.24</v>
      </c>
      <c r="G9" s="7" t="n">
        <v>6.36</v>
      </c>
    </row>
    <row r="10">
      <c r="A10" s="5" t="n">
        <v>9</v>
      </c>
      <c r="B10" s="5" t="inlineStr">
        <is>
          <t>Bang Phlat District</t>
        </is>
      </c>
      <c r="C10" s="7" t="n">
        <v>2.29</v>
      </c>
      <c r="D10" s="7" t="n">
        <v>3</v>
      </c>
      <c r="E10" s="7" t="n">
        <v>0.72</v>
      </c>
      <c r="F10" s="7" t="n">
        <v>0.36</v>
      </c>
      <c r="G10" s="7" t="n">
        <v>6.36</v>
      </c>
    </row>
    <row r="11">
      <c r="A11" s="5" t="n">
        <v>10</v>
      </c>
      <c r="B11" s="5" t="inlineStr">
        <is>
          <t>Suan Luang District</t>
        </is>
      </c>
      <c r="C11" s="7" t="n">
        <v>2.18</v>
      </c>
      <c r="D11" s="7" t="n">
        <v>3</v>
      </c>
      <c r="E11" s="7" t="n">
        <v>0.54</v>
      </c>
      <c r="F11" s="7" t="n">
        <v>0.54</v>
      </c>
      <c r="G11" s="7" t="n">
        <v>6.26</v>
      </c>
    </row>
    <row r="12">
      <c r="A12" s="5" t="n">
        <v>11</v>
      </c>
      <c r="B12" s="5" t="inlineStr">
        <is>
          <t>Don Mueang District</t>
        </is>
      </c>
      <c r="C12" s="7" t="n">
        <v>3.5</v>
      </c>
      <c r="D12" s="7" t="n">
        <v>1.2</v>
      </c>
      <c r="E12" s="7" t="n">
        <v>0.54</v>
      </c>
      <c r="F12" s="7" t="n">
        <v>0.77</v>
      </c>
      <c r="G12" s="7" t="n">
        <v>6.01</v>
      </c>
    </row>
    <row r="13">
      <c r="A13" s="5" t="n">
        <v>12</v>
      </c>
      <c r="B13" s="5" t="inlineStr">
        <is>
          <t>Khlong San District</t>
        </is>
      </c>
      <c r="C13" s="7" t="n">
        <v>1.73</v>
      </c>
      <c r="D13" s="7" t="n">
        <v>3</v>
      </c>
      <c r="E13" s="7" t="n">
        <v>0.89</v>
      </c>
      <c r="F13" s="7" t="n">
        <v>0.24</v>
      </c>
      <c r="G13" s="7" t="n">
        <v>5.86</v>
      </c>
    </row>
    <row r="14">
      <c r="A14" s="5" t="n">
        <v>13</v>
      </c>
      <c r="B14" s="5" t="inlineStr">
        <is>
          <t>Bangkok Noi District</t>
        </is>
      </c>
      <c r="C14" s="7" t="n">
        <v>1.98</v>
      </c>
      <c r="D14" s="7" t="n">
        <v>3</v>
      </c>
      <c r="E14" s="7" t="n">
        <v>0.36</v>
      </c>
      <c r="F14" s="7" t="n">
        <v>0.42</v>
      </c>
      <c r="G14" s="7" t="n">
        <v>5.75</v>
      </c>
    </row>
    <row r="15">
      <c r="A15" s="5" t="n">
        <v>14</v>
      </c>
      <c r="B15" s="5" t="inlineStr">
        <is>
          <t>Bang Kapi District</t>
        </is>
      </c>
      <c r="C15" s="7" t="n">
        <v>2.54</v>
      </c>
      <c r="D15" s="7" t="n">
        <v>1.8</v>
      </c>
      <c r="E15" s="7" t="n">
        <v>0.72</v>
      </c>
      <c r="F15" s="7" t="n">
        <v>0.64</v>
      </c>
      <c r="G15" s="7" t="n">
        <v>5.7</v>
      </c>
    </row>
    <row r="16">
      <c r="A16" s="5" t="n">
        <v>15</v>
      </c>
      <c r="B16" s="5" t="inlineStr">
        <is>
          <t>Thon Buri District</t>
        </is>
      </c>
      <c r="C16" s="7" t="n">
        <v>1.69</v>
      </c>
      <c r="D16" s="7" t="n">
        <v>3</v>
      </c>
      <c r="E16" s="7" t="n">
        <v>0.54</v>
      </c>
      <c r="F16" s="7" t="n">
        <v>0.42</v>
      </c>
      <c r="G16" s="7" t="n">
        <v>5.64</v>
      </c>
    </row>
    <row r="17">
      <c r="A17" s="5" t="n">
        <v>16</v>
      </c>
      <c r="B17" s="5" t="inlineStr">
        <is>
          <t>Bangkok Yai District</t>
        </is>
      </c>
      <c r="C17" s="7" t="n">
        <v>1.88</v>
      </c>
      <c r="D17" s="7" t="n">
        <v>3</v>
      </c>
      <c r="E17" s="7" t="n">
        <v>0.54</v>
      </c>
      <c r="F17" s="7" t="n">
        <v>0.22</v>
      </c>
      <c r="G17" s="7" t="n">
        <v>5.63</v>
      </c>
    </row>
    <row r="18">
      <c r="A18" s="5" t="n">
        <v>17</v>
      </c>
      <c r="B18" s="5" t="inlineStr">
        <is>
          <t>Pathum Wan District</t>
        </is>
      </c>
      <c r="C18" s="7" t="n">
        <v>1.98</v>
      </c>
      <c r="D18" s="7" t="n">
        <v>1.8</v>
      </c>
      <c r="E18" s="7" t="n">
        <v>1.61</v>
      </c>
      <c r="F18" s="7" t="n">
        <v>0.11</v>
      </c>
      <c r="G18" s="7" t="n">
        <v>5.49</v>
      </c>
    </row>
    <row r="19">
      <c r="A19" s="5" t="n">
        <v>18</v>
      </c>
      <c r="B19" s="5" t="inlineStr">
        <is>
          <t>Vadhana District</t>
        </is>
      </c>
      <c r="C19" s="7" t="n">
        <v>1.71</v>
      </c>
      <c r="D19" s="7" t="n">
        <v>3</v>
      </c>
      <c r="E19" s="7" t="n">
        <v>0.18</v>
      </c>
      <c r="F19" s="7" t="n">
        <v>0.32</v>
      </c>
      <c r="G19" s="7" t="n">
        <v>5.21</v>
      </c>
    </row>
    <row r="20">
      <c r="A20" s="5" t="n">
        <v>19</v>
      </c>
      <c r="B20" s="5" t="inlineStr">
        <is>
          <t>Khlong Toei District</t>
        </is>
      </c>
      <c r="C20" s="7" t="n">
        <v>1.3</v>
      </c>
      <c r="D20" s="7" t="n">
        <v>1.8</v>
      </c>
      <c r="E20" s="7" t="n">
        <v>1.61</v>
      </c>
      <c r="F20" s="7" t="n">
        <v>0.37</v>
      </c>
      <c r="G20" s="7" t="n">
        <v>5.08</v>
      </c>
    </row>
    <row r="21">
      <c r="A21" s="5" t="n">
        <v>20</v>
      </c>
      <c r="B21" s="5" t="inlineStr">
        <is>
          <t>Ratchathewi District</t>
        </is>
      </c>
      <c r="C21" s="7" t="n">
        <v>2.27</v>
      </c>
      <c r="D21" s="7" t="n">
        <v>1.8</v>
      </c>
      <c r="E21" s="7" t="n">
        <v>0.72</v>
      </c>
      <c r="F21" s="7" t="n">
        <v>0.24</v>
      </c>
      <c r="G21" s="7" t="n">
        <v>5.03</v>
      </c>
    </row>
    <row r="22">
      <c r="A22" s="5" t="n">
        <v>21</v>
      </c>
      <c r="B22" s="5" t="inlineStr">
        <is>
          <t>Sathon District</t>
        </is>
      </c>
      <c r="C22" s="7" t="n">
        <v>1.75</v>
      </c>
      <c r="D22" s="7" t="n">
        <v>3</v>
      </c>
      <c r="E22" s="7" t="n">
        <v>0</v>
      </c>
      <c r="F22" s="7" t="n">
        <v>0.28</v>
      </c>
      <c r="G22" s="7" t="n">
        <v>5.02</v>
      </c>
    </row>
    <row r="23">
      <c r="A23" s="5" t="n">
        <v>22</v>
      </c>
      <c r="B23" s="5" t="inlineStr">
        <is>
          <t>Lak Si District</t>
        </is>
      </c>
      <c r="C23" s="7" t="n">
        <v>3.29</v>
      </c>
      <c r="D23" s="7" t="n">
        <v>0.6</v>
      </c>
      <c r="E23" s="7" t="n">
        <v>0.72</v>
      </c>
      <c r="F23" s="7" t="n">
        <v>0.42</v>
      </c>
      <c r="G23" s="7" t="n">
        <v>5.02</v>
      </c>
    </row>
    <row r="24">
      <c r="A24" s="5" t="n">
        <v>23</v>
      </c>
      <c r="B24" s="5" t="inlineStr">
        <is>
          <t>Sai Mai District</t>
        </is>
      </c>
      <c r="C24" s="7" t="n">
        <v>3.25</v>
      </c>
      <c r="D24" s="7" t="n">
        <v>0.6</v>
      </c>
      <c r="E24" s="7" t="n">
        <v>0</v>
      </c>
      <c r="F24" s="7" t="n">
        <v>1</v>
      </c>
      <c r="G24" s="7" t="n">
        <v>4.85</v>
      </c>
    </row>
    <row r="25">
      <c r="A25" s="5" t="n">
        <v>24</v>
      </c>
      <c r="B25" s="5" t="inlineStr">
        <is>
          <t>Bang Kho Laem District</t>
        </is>
      </c>
      <c r="C25" s="7" t="n">
        <v>1.43</v>
      </c>
      <c r="D25" s="7" t="n">
        <v>3</v>
      </c>
      <c r="E25" s="7" t="n">
        <v>0</v>
      </c>
      <c r="F25" s="7" t="n">
        <v>0.31</v>
      </c>
      <c r="G25" s="7" t="n">
        <v>4.74</v>
      </c>
    </row>
    <row r="26">
      <c r="A26" s="5" t="n">
        <v>25</v>
      </c>
      <c r="B26" s="5" t="inlineStr">
        <is>
          <t>Bang Rak District</t>
        </is>
      </c>
      <c r="C26" s="7" t="n">
        <v>1.9</v>
      </c>
      <c r="D26" s="7" t="n">
        <v>1.8</v>
      </c>
      <c r="E26" s="7" t="n">
        <v>0.89</v>
      </c>
      <c r="F26" s="7" t="n">
        <v>0.12</v>
      </c>
      <c r="G26" s="7" t="n">
        <v>4.71</v>
      </c>
    </row>
    <row r="27">
      <c r="A27" s="5" t="n">
        <v>26</v>
      </c>
      <c r="B27" s="5" t="inlineStr">
        <is>
          <t>Khan Na Yao District</t>
        </is>
      </c>
      <c r="C27" s="7" t="n">
        <v>2.65</v>
      </c>
      <c r="D27" s="7" t="n">
        <v>0.6</v>
      </c>
      <c r="E27" s="7" t="n">
        <v>0.89</v>
      </c>
      <c r="F27" s="7" t="n">
        <v>0.4</v>
      </c>
      <c r="G27" s="7" t="n">
        <v>4.54</v>
      </c>
    </row>
    <row r="28">
      <c r="A28" s="5" t="n">
        <v>27</v>
      </c>
      <c r="B28" s="5" t="inlineStr">
        <is>
          <t>Rat Burana District</t>
        </is>
      </c>
      <c r="C28" s="7" t="n">
        <v>1.05</v>
      </c>
      <c r="D28" s="7" t="n">
        <v>3</v>
      </c>
      <c r="E28" s="7" t="n">
        <v>0</v>
      </c>
      <c r="F28" s="7" t="n">
        <v>0.3</v>
      </c>
      <c r="G28" s="7" t="n">
        <v>4.35</v>
      </c>
    </row>
    <row r="29">
      <c r="A29" s="5" t="n">
        <v>28</v>
      </c>
      <c r="B29" s="5" t="inlineStr">
        <is>
          <t>Phra Nakhon District</t>
        </is>
      </c>
      <c r="C29" s="7" t="n">
        <v>2.08</v>
      </c>
      <c r="D29" s="7" t="n">
        <v>1.8</v>
      </c>
      <c r="E29" s="7" t="n">
        <v>0.36</v>
      </c>
      <c r="F29" s="7" t="n">
        <v>0.11</v>
      </c>
      <c r="G29" s="7" t="n">
        <v>4.35</v>
      </c>
    </row>
    <row r="30">
      <c r="A30" s="5" t="n">
        <v>29</v>
      </c>
      <c r="B30" s="5" t="inlineStr">
        <is>
          <t>Phra Khanong District</t>
        </is>
      </c>
      <c r="C30" s="7" t="n">
        <v>1.84</v>
      </c>
      <c r="D30" s="7" t="n">
        <v>1.8</v>
      </c>
      <c r="E30" s="7" t="n">
        <v>0.36</v>
      </c>
      <c r="F30" s="7" t="n">
        <v>0.35</v>
      </c>
      <c r="G30" s="7" t="n">
        <v>4.35</v>
      </c>
    </row>
    <row r="31">
      <c r="A31" s="5" t="n">
        <v>30</v>
      </c>
      <c r="B31" s="5" t="inlineStr">
        <is>
          <t>Pom Prap Sattru Phai District</t>
        </is>
      </c>
      <c r="C31" s="7" t="n">
        <v>2.38</v>
      </c>
      <c r="D31" s="7" t="n">
        <v>1.8</v>
      </c>
      <c r="E31" s="7" t="n">
        <v>0</v>
      </c>
      <c r="F31" s="7" t="n">
        <v>0.1</v>
      </c>
      <c r="G31" s="7" t="n">
        <v>4.28</v>
      </c>
    </row>
    <row r="32">
      <c r="A32" s="5" t="n">
        <v>31</v>
      </c>
      <c r="B32" s="5" t="inlineStr">
        <is>
          <t>Bang Na District</t>
        </is>
      </c>
      <c r="C32" s="7" t="n">
        <v>1.75</v>
      </c>
      <c r="D32" s="7" t="n">
        <v>1.2</v>
      </c>
      <c r="E32" s="7" t="n">
        <v>0.89</v>
      </c>
      <c r="F32" s="7" t="n">
        <v>0.35</v>
      </c>
      <c r="G32" s="7" t="n">
        <v>4.19</v>
      </c>
    </row>
    <row r="33">
      <c r="A33" s="5" t="n">
        <v>32</v>
      </c>
      <c r="B33" s="5" t="inlineStr">
        <is>
          <t>Samphanthawong District</t>
        </is>
      </c>
      <c r="C33" s="7" t="n">
        <v>2.02</v>
      </c>
      <c r="D33" s="7" t="n">
        <v>1.8</v>
      </c>
      <c r="E33" s="7" t="n">
        <v>0.18</v>
      </c>
      <c r="F33" s="7" t="n">
        <v>0</v>
      </c>
      <c r="G33" s="7" t="n">
        <v>3.99</v>
      </c>
    </row>
    <row r="34">
      <c r="A34" s="5" t="n">
        <v>33</v>
      </c>
      <c r="B34" s="5" t="inlineStr">
        <is>
          <t>Dusit District</t>
        </is>
      </c>
      <c r="C34" s="7" t="n">
        <v>2.35</v>
      </c>
      <c r="D34" s="7" t="n">
        <v>1.2</v>
      </c>
      <c r="E34" s="7" t="n">
        <v>0</v>
      </c>
      <c r="F34" s="7" t="n">
        <v>0.31</v>
      </c>
      <c r="G34" s="7" t="n">
        <v>3.86</v>
      </c>
    </row>
    <row r="35">
      <c r="A35" s="5" t="n">
        <v>34</v>
      </c>
      <c r="B35" s="5" t="inlineStr">
        <is>
          <t>Huai Khwang District</t>
        </is>
      </c>
      <c r="C35" s="7" t="n">
        <v>2.09</v>
      </c>
      <c r="D35" s="7" t="n">
        <v>1.2</v>
      </c>
      <c r="E35" s="7" t="n">
        <v>0.18</v>
      </c>
      <c r="F35" s="7" t="n">
        <v>0.33</v>
      </c>
      <c r="G35" s="7" t="n">
        <v>3.8</v>
      </c>
    </row>
    <row r="36">
      <c r="A36" s="5" t="n">
        <v>35</v>
      </c>
      <c r="B36" s="5" t="inlineStr">
        <is>
          <t>Min Buri District</t>
        </is>
      </c>
      <c r="C36" s="7" t="n">
        <v>1.77</v>
      </c>
      <c r="D36" s="7" t="n">
        <v>0.6</v>
      </c>
      <c r="E36" s="7" t="n">
        <v>0.72</v>
      </c>
      <c r="F36" s="7" t="n">
        <v>0.64</v>
      </c>
      <c r="G36" s="7" t="n">
        <v>3.72</v>
      </c>
    </row>
    <row r="37">
      <c r="A37" s="5" t="n">
        <v>36</v>
      </c>
      <c r="B37" s="5" t="inlineStr">
        <is>
          <t>Prawet District</t>
        </is>
      </c>
      <c r="C37" s="7" t="n">
        <v>1.63</v>
      </c>
      <c r="D37" s="7" t="n">
        <v>0.6</v>
      </c>
      <c r="E37" s="7" t="n">
        <v>0.54</v>
      </c>
      <c r="F37" s="7" t="n">
        <v>0.86</v>
      </c>
      <c r="G37" s="7" t="n">
        <v>3.62</v>
      </c>
    </row>
    <row r="38">
      <c r="A38" s="5" t="n">
        <v>37</v>
      </c>
      <c r="B38" s="5" t="inlineStr">
        <is>
          <t>Khlong Sam Wa District</t>
        </is>
      </c>
      <c r="C38" s="7" t="n">
        <v>1.96</v>
      </c>
      <c r="D38" s="7" t="n">
        <v>0.6</v>
      </c>
      <c r="E38" s="7" t="n">
        <v>0</v>
      </c>
      <c r="F38" s="7" t="n">
        <v>1</v>
      </c>
      <c r="G38" s="7" t="n">
        <v>3.56</v>
      </c>
    </row>
    <row r="39">
      <c r="A39" s="5" t="n">
        <v>38</v>
      </c>
      <c r="B39" s="5" t="inlineStr">
        <is>
          <t>Phasi Charoen District</t>
        </is>
      </c>
      <c r="C39" s="7" t="n">
        <v>1.43</v>
      </c>
      <c r="D39" s="7" t="n">
        <v>0.6</v>
      </c>
      <c r="E39" s="7" t="n">
        <v>0.89</v>
      </c>
      <c r="F39" s="7" t="n">
        <v>0.54</v>
      </c>
      <c r="G39" s="7" t="n">
        <v>3.46</v>
      </c>
    </row>
    <row r="40">
      <c r="A40" s="5" t="n">
        <v>39</v>
      </c>
      <c r="B40" s="5" t="inlineStr">
        <is>
          <t>Bang Khae District</t>
        </is>
      </c>
      <c r="C40" s="7" t="n">
        <v>1.32</v>
      </c>
      <c r="D40" s="7" t="n">
        <v>0.6</v>
      </c>
      <c r="E40" s="7" t="n">
        <v>0.36</v>
      </c>
      <c r="F40" s="7" t="n">
        <v>0.91</v>
      </c>
      <c r="G40" s="7" t="n">
        <v>3.18</v>
      </c>
    </row>
    <row r="41">
      <c r="A41" s="5" t="n">
        <v>40</v>
      </c>
      <c r="B41" s="5" t="inlineStr">
        <is>
          <t>Saphan Sung District</t>
        </is>
      </c>
      <c r="C41" s="7" t="n">
        <v>2.11</v>
      </c>
      <c r="D41" s="7" t="n">
        <v>0.6</v>
      </c>
      <c r="E41" s="7" t="n">
        <v>0</v>
      </c>
      <c r="F41" s="7" t="n">
        <v>0.4</v>
      </c>
      <c r="G41" s="7" t="n">
        <v>3.11</v>
      </c>
    </row>
    <row r="42">
      <c r="A42" s="5" t="n">
        <v>41</v>
      </c>
      <c r="B42" s="5" t="inlineStr">
        <is>
          <t>Taling Chan District</t>
        </is>
      </c>
      <c r="C42" s="7" t="n">
        <v>1.71</v>
      </c>
      <c r="D42" s="7" t="n">
        <v>0.6</v>
      </c>
      <c r="E42" s="7" t="n">
        <v>0</v>
      </c>
      <c r="F42" s="7" t="n">
        <v>0.43</v>
      </c>
      <c r="G42" s="7" t="n">
        <v>2.74</v>
      </c>
    </row>
    <row r="43">
      <c r="A43" s="5" t="n">
        <v>42</v>
      </c>
      <c r="B43" s="5" t="inlineStr">
        <is>
          <t>Yan Nawa District</t>
        </is>
      </c>
      <c r="C43" s="7" t="n">
        <v>1.24</v>
      </c>
      <c r="D43" s="7" t="n">
        <v>1.2</v>
      </c>
      <c r="E43" s="7" t="n">
        <v>0</v>
      </c>
      <c r="F43" s="7" t="n">
        <v>0.29</v>
      </c>
      <c r="G43" s="7" t="n">
        <v>2.72</v>
      </c>
    </row>
    <row r="44">
      <c r="A44" s="5" t="n">
        <v>43</v>
      </c>
      <c r="B44" s="5" t="inlineStr">
        <is>
          <t>Nong Chok District</t>
        </is>
      </c>
      <c r="C44" s="7" t="n">
        <v>1.2</v>
      </c>
      <c r="D44" s="7" t="n">
        <v>0.6</v>
      </c>
      <c r="E44" s="7" t="n">
        <v>0</v>
      </c>
      <c r="F44" s="7" t="n">
        <v>0.85</v>
      </c>
      <c r="G44" s="7" t="n">
        <v>2.65</v>
      </c>
    </row>
    <row r="45">
      <c r="A45" s="5" t="n">
        <v>44</v>
      </c>
      <c r="B45" s="5" t="inlineStr">
        <is>
          <t>Lat Krabang District</t>
        </is>
      </c>
      <c r="C45" s="7" t="n">
        <v>1.19</v>
      </c>
      <c r="D45" s="7" t="n">
        <v>0.6</v>
      </c>
      <c r="E45" s="7" t="n">
        <v>0</v>
      </c>
      <c r="F45" s="7" t="n">
        <v>0.84</v>
      </c>
      <c r="G45" s="7" t="n">
        <v>2.62</v>
      </c>
    </row>
    <row r="46">
      <c r="A46" s="5" t="n">
        <v>45</v>
      </c>
      <c r="B46" s="5" t="inlineStr">
        <is>
          <t>Nong Khaem District</t>
        </is>
      </c>
      <c r="C46" s="7" t="n">
        <v>1.06</v>
      </c>
      <c r="D46" s="7" t="n">
        <v>0.6</v>
      </c>
      <c r="E46" s="7" t="n">
        <v>0</v>
      </c>
      <c r="F46" s="7" t="n">
        <v>0.72</v>
      </c>
      <c r="G46" s="7" t="n">
        <v>2.37</v>
      </c>
    </row>
    <row r="47">
      <c r="A47" s="5" t="n">
        <v>46</v>
      </c>
      <c r="B47" s="5" t="inlineStr">
        <is>
          <t>Thawi Watthana District</t>
        </is>
      </c>
      <c r="C47" s="7" t="n">
        <v>1.41</v>
      </c>
      <c r="D47" s="7" t="n">
        <v>0.6</v>
      </c>
      <c r="E47" s="7" t="n">
        <v>0</v>
      </c>
      <c r="F47" s="7" t="n">
        <v>0.31</v>
      </c>
      <c r="G47" s="7" t="n">
        <v>2.33</v>
      </c>
    </row>
    <row r="48">
      <c r="A48" s="5" t="n">
        <v>47</v>
      </c>
      <c r="B48" s="5" t="inlineStr">
        <is>
          <t>Chom Thong District</t>
        </is>
      </c>
      <c r="C48" s="7" t="n">
        <v>1.06</v>
      </c>
      <c r="D48" s="7" t="n">
        <v>0.6</v>
      </c>
      <c r="E48" s="7" t="n">
        <v>0</v>
      </c>
      <c r="F48" s="7" t="n">
        <v>0.65</v>
      </c>
      <c r="G48" s="7" t="n">
        <v>2.32</v>
      </c>
    </row>
    <row r="49">
      <c r="A49" s="5" t="n">
        <v>48</v>
      </c>
      <c r="B49" s="5" t="inlineStr">
        <is>
          <t>Bang Bon District</t>
        </is>
      </c>
      <c r="C49" s="7" t="n">
        <v>0.75</v>
      </c>
      <c r="D49" s="7" t="n">
        <v>0.6</v>
      </c>
      <c r="E49" s="7" t="n">
        <v>0</v>
      </c>
      <c r="F49" s="7" t="n">
        <v>0.43</v>
      </c>
      <c r="G49" s="7" t="n">
        <v>1.78</v>
      </c>
    </row>
    <row r="50">
      <c r="A50" s="5" t="n">
        <v>49</v>
      </c>
      <c r="B50" s="5" t="inlineStr">
        <is>
          <t>Thung Khru District</t>
        </is>
      </c>
      <c r="C50" s="7" t="n">
        <v>0.53</v>
      </c>
      <c r="D50" s="7" t="n">
        <v>0.6</v>
      </c>
      <c r="E50" s="7" t="n">
        <v>0</v>
      </c>
      <c r="F50" s="7" t="n">
        <v>0.55</v>
      </c>
      <c r="G50" s="7" t="n">
        <v>1.68</v>
      </c>
    </row>
    <row r="51">
      <c r="A51" s="5" t="n">
        <v>50</v>
      </c>
      <c r="B51" s="5" t="inlineStr">
        <is>
          <t>Bang Khun Thian District</t>
        </is>
      </c>
      <c r="C51" s="7" t="n">
        <v>0</v>
      </c>
      <c r="D51" s="7" t="n">
        <v>0.6</v>
      </c>
      <c r="E51" s="7" t="n">
        <v>0</v>
      </c>
      <c r="F51" s="7" t="n">
        <v>0.87</v>
      </c>
      <c r="G51" s="7" t="n">
        <v>1.47</v>
      </c>
    </row>
  </sheetData>
  <conditionalFormatting sqref="D2:D51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:G51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2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00" customWidth="1" min="2" max="2"/>
  </cols>
  <sheetData>
    <row r="1">
      <c r="A1" s="9" t="inlineStr">
        <is>
          <t>Field</t>
        </is>
      </c>
      <c r="B1" s="10" t="inlineStr">
        <is>
          <t>Definition</t>
        </is>
      </c>
    </row>
    <row r="2">
      <c r="A2" s="11" t="inlineStr">
        <is>
          <t>Bangkok District Site Evaluation - Legend &amp; Method</t>
        </is>
      </c>
      <c r="B2" s="10" t="inlineStr"/>
    </row>
    <row r="3">
      <c r="A3" t="inlineStr"/>
      <c r="B3" s="10" t="inlineStr"/>
    </row>
    <row r="4">
      <c r="A4" s="11" t="inlineStr">
        <is>
          <t>Purpose</t>
        </is>
      </c>
      <c r="B4" s="10" t="inlineStr">
        <is>
          <t>Tier 1 weighted multi-criteria ranking of Bangkok's 50 districts for an evening thermal-refuge civic center.</t>
        </is>
      </c>
    </row>
    <row r="5">
      <c r="A5" t="inlineStr"/>
      <c r="B5" s="10" t="inlineStr"/>
    </row>
    <row r="6">
      <c r="A6" s="11" t="inlineStr">
        <is>
          <t>MCDA criteria &amp; weights</t>
        </is>
      </c>
      <c r="B6" s="10" t="inlineStr"/>
    </row>
    <row r="7">
      <c r="A7" t="inlineStr">
        <is>
          <t xml:space="preserve">  UHI severity (evening)</t>
        </is>
      </c>
      <c r="B7" s="10" t="inlineStr">
        <is>
          <t>35%  = 0.7 x Evening UHII (HotDry) + 0.3 x LST mean, min-max normalized 0-10</t>
        </is>
      </c>
    </row>
    <row r="8">
      <c r="A8" t="inlineStr">
        <is>
          <t xml:space="preserve">  Housing vulnerability</t>
        </is>
      </c>
      <c r="B8" s="10" t="inlineStr">
        <is>
          <t>30%  = Dominant LCZ ordinal (LCZ3=10, LCZ2=6, LCZ8=4, else 2)</t>
        </is>
      </c>
    </row>
    <row r="9">
      <c r="A9" t="inlineStr">
        <is>
          <t xml:space="preserve">  Transit / intercept</t>
        </is>
      </c>
      <c r="B9" s="10" t="inlineStr">
        <is>
          <t>25%  = rapid-transit station count, min-max normalized 0-10</t>
        </is>
      </c>
    </row>
    <row r="10">
      <c r="A10" t="inlineStr">
        <is>
          <t xml:space="preserve">  Demographic density</t>
        </is>
      </c>
      <c r="B10" s="10" t="inlineStr">
        <is>
          <t>10%  = Population % of BMA, min-max normalized 0-10</t>
        </is>
      </c>
    </row>
    <row r="11">
      <c r="A11" t="inlineStr">
        <is>
          <t xml:space="preserve">  TOTAL SCORE</t>
        </is>
      </c>
      <c r="B11" s="10" t="inlineStr">
        <is>
          <t>weighted sum of the four sub-scores, 0-10</t>
        </is>
      </c>
    </row>
    <row r="12">
      <c r="A12" t="inlineStr"/>
      <c r="B12" s="10" t="inlineStr"/>
    </row>
    <row r="13">
      <c r="A13" s="11" t="inlineStr">
        <is>
          <t>Tier 0 (spatial gate)</t>
        </is>
      </c>
      <c r="B13" s="10" t="inlineStr">
        <is>
          <t>Work&lt;-&gt;home intercept: residential fabric within 200 m of a working zone. Currently reported alongside, NOT yet folded into the score.</t>
        </is>
      </c>
    </row>
    <row r="14">
      <c r="A14" t="inlineStr">
        <is>
          <t xml:space="preserve">  Intercept (% district)</t>
        </is>
      </c>
      <c r="B14" s="10" t="inlineStr">
        <is>
          <t>share of the district area that is intercept fabric</t>
        </is>
      </c>
    </row>
    <row r="15">
      <c r="A15" t="inlineStr">
        <is>
          <t xml:space="preserve">  Intercept (% resid.)</t>
        </is>
      </c>
      <c r="B15" s="10" t="inlineStr">
        <is>
          <t>share of the district's residential fabric that is intercept-adjacent</t>
        </is>
      </c>
    </row>
    <row r="16">
      <c r="A16" t="inlineStr"/>
      <c r="B16" s="10" t="inlineStr"/>
    </row>
    <row r="17">
      <c r="A17" s="11" t="inlineStr">
        <is>
          <t>Seasonal UHII sheet</t>
        </is>
      </c>
      <c r="B17" s="10" t="inlineStr">
        <is>
          <t>Full 3-season x night/evening urban heat-island intensity (C).</t>
        </is>
      </c>
    </row>
    <row r="18">
      <c r="A18" t="inlineStr">
        <is>
          <t xml:space="preserve">  Eve Mean/Range (diag)</t>
        </is>
      </c>
      <c r="B18" s="10" t="inlineStr">
        <is>
          <t>DIAGNOSTIC ONLY - not part of the score. Range = seasonal consistency (low = hot every evening season). See docs/plan_evening-uhi-seasonal-average.md.</t>
        </is>
      </c>
    </row>
    <row r="19">
      <c r="A19" t="inlineStr"/>
      <c r="B19" s="10" t="inlineStr"/>
    </row>
    <row r="20">
      <c r="A20" s="11" t="inlineStr">
        <is>
          <t>Caveats</t>
        </is>
      </c>
      <c r="B20" s="10" t="inlineStr">
        <is>
          <t>LST is a ~10:30 daytime SURFACE signal (heat-storage proxy, not evening air temp). UHI_Tier is derived from night UHII. OSM intercept = incomplete proxy. Full method: docs/SiteSelectionMatrixGemini.md.</t>
        </is>
      </c>
    </row>
    <row r="21">
      <c r="A21" t="inlineStr"/>
      <c r="B21" s="10" t="inlineStr"/>
    </row>
    <row r="22">
      <c r="A22" s="11" t="inlineStr">
        <is>
          <t>Generated by</t>
        </is>
      </c>
      <c r="B22" s="10" t="inlineStr">
        <is>
          <t>data/export_site_evaluation_xlsx.py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2026-07-15T05:50:46Z</dcterms:created>
  <dcterms:modified xmlns:dcterms="http://purl.org/dc/terms/" xmlns:xsi="http://www.w3.org/2001/XMLSchema-instance" xsi:type="dcterms:W3CDTF">2026-07-15T05:50:46Z</dcterms:modified>
</cp:coreProperties>
</file>